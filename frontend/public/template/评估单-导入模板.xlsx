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零部件成本及投资费评估" sheetId="2" r:id="rId1"/>
    <sheet name="设计成本优化提案反馈表" sheetId="4" state="hidden" r:id="rId2"/>
    <sheet name="样件评估" sheetId="3" r:id="rId3"/>
    <sheet name="Sheet1" sheetId="5" r:id="rId4"/>
  </sheets>
  <definedNames>
    <definedName name="_xlnm._FilterDatabase" localSheetId="0" hidden="1">零部件成本及投资费评估!$B$5:$AQ$6</definedName>
    <definedName name="_xlnm._FilterDatabase" localSheetId="2" hidden="1">样件评估!$B$3:$W$407</definedName>
    <definedName name="_xlnm._FilterDatabase" localSheetId="1" hidden="1">设计成本优化提案反馈表!$A$4:$W$466</definedName>
    <definedName name="Mat_Ext" localSheetId="1">#REF!</definedName>
    <definedName name="Mat_Ext" localSheetId="2">#REF!</definedName>
    <definedName name="Mat_Ext">#REF!</definedName>
    <definedName name="_xlnm.Print_Area" localSheetId="2">样件评估!$B$2:$V$13</definedName>
    <definedName name="Prod_Ext" localSheetId="1">#REF!</definedName>
    <definedName name="Prod_Ext" localSheetId="2">#REF!</definedName>
    <definedName name="Prod_Ext">#REF!</definedName>
    <definedName name="Prototype" localSheetId="1">#REF!</definedName>
    <definedName name="Prototype" localSheetId="2">#REF!</definedName>
    <definedName name="Prototype">#REF!</definedName>
    <definedName name="pullahead" localSheetId="1">#REF!</definedName>
    <definedName name="pullahead" localSheetId="2">#REF!</definedName>
    <definedName name="pullahead">#REF!</definedName>
    <definedName name="table1" localSheetId="1">#REF!</definedName>
    <definedName name="table1" localSheetId="2">#REF!</definedName>
    <definedName name="table1">#REF!</definedName>
    <definedName name="table2" localSheetId="1">#REF!</definedName>
    <definedName name="table2" localSheetId="2">#REF!</definedName>
    <definedName name="table2">#REF!</definedName>
    <definedName name="Z_0F2F0FF2_031E_493F_B415_35E6C33C329F_.wvu.FilterData" localSheetId="0" hidden="1">零部件成本及投资费评估!$B$5:$AQ$6</definedName>
    <definedName name="Z_0F2F0FF2_031E_493F_B415_35E6C33C329F_.wvu.FilterData" localSheetId="1" hidden="1">设计成本优化提案反馈表!$A$4:$W$4</definedName>
    <definedName name="Z_0F2F0FF2_031E_493F_B415_35E6C33C329F_.wvu.FilterData" localSheetId="2" hidden="1">样件评估!$B$3:$W$296</definedName>
    <definedName name="Z_0F2F0FF2_031E_493F_B415_35E6C33C329F_.wvu.PrintArea" localSheetId="2" hidden="1">样件评估!$B$2:$V$13</definedName>
    <definedName name="Z_10FAEC35_64F0_462F_B991_96EDFF980FF2_.wvu.Cols" localSheetId="0" hidden="1">零部件成本及投资费评估!$AO:$AQ</definedName>
    <definedName name="Z_10FAEC35_64F0_462F_B991_96EDFF980FF2_.wvu.FilterData" localSheetId="0" hidden="1">零部件成本及投资费评估!$B$5:$AQ$6</definedName>
    <definedName name="Z_10FAEC35_64F0_462F_B991_96EDFF980FF2_.wvu.FilterData" localSheetId="1" hidden="1">设计成本优化提案反馈表!$A$4:$W$454</definedName>
    <definedName name="Z_10FAEC35_64F0_462F_B991_96EDFF980FF2_.wvu.FilterData" localSheetId="2" hidden="1">样件评估!$B$3:$W$296</definedName>
    <definedName name="Z_10FAEC35_64F0_462F_B991_96EDFF980FF2_.wvu.PrintArea" localSheetId="2" hidden="1">样件评估!$B$2:$V$13</definedName>
    <definedName name="Z_11FF8664_436E_4259_BA59_1D0CC5C47045_.wvu.FilterData" localSheetId="1" hidden="1">设计成本优化提案反馈表!$A$4:$W$4</definedName>
    <definedName name="Z_2E09003F_12E7_467D_AFFD_CDAFC389AF47_.wvu.FilterData" localSheetId="0" hidden="1">零部件成本及投资费评估!$B$5:$AQ$6</definedName>
    <definedName name="Z_2E09003F_12E7_467D_AFFD_CDAFC389AF47_.wvu.FilterData" localSheetId="1" hidden="1">设计成本优化提案反馈表!$A$4:$W$4</definedName>
    <definedName name="Z_2E09003F_12E7_467D_AFFD_CDAFC389AF47_.wvu.FilterData" localSheetId="2" hidden="1">样件评估!$B$3:$W$296</definedName>
    <definedName name="Z_2E09003F_12E7_467D_AFFD_CDAFC389AF47_.wvu.PrintArea" localSheetId="2" hidden="1">样件评估!$B$2:$V$13</definedName>
    <definedName name="Z_2FEC660F_2DC1_49E8_9809_7F1D38DFCA85_.wvu.FilterData" localSheetId="0" hidden="1">零部件成本及投资费评估!$B$5:$AQ$6</definedName>
    <definedName name="Z_6212D29A_3AE4_4956_BC1B_9171944782C7_.wvu.FilterData" localSheetId="0" hidden="1">零部件成本及投资费评估!$B$5:$AQ$6</definedName>
    <definedName name="Z_6212D29A_3AE4_4956_BC1B_9171944782C7_.wvu.FilterData" localSheetId="1" hidden="1">设计成本优化提案反馈表!$A$4:$W$4</definedName>
    <definedName name="Z_6212D29A_3AE4_4956_BC1B_9171944782C7_.wvu.FilterData" localSheetId="2" hidden="1">样件评估!$B$3:$W$296</definedName>
    <definedName name="Z_6212D29A_3AE4_4956_BC1B_9171944782C7_.wvu.PrintArea" localSheetId="2" hidden="1">样件评估!$B$2:$V$13</definedName>
    <definedName name="Z_7DFA21AA_4183_423A_B999_0761E3625647_.wvu.Cols" localSheetId="0" hidden="1">零部件成本及投资费评估!$AO:$AQ</definedName>
    <definedName name="Z_7DFA21AA_4183_423A_B999_0761E3625647_.wvu.FilterData" localSheetId="0" hidden="1">零部件成本及投资费评估!$B$5:$AQ$6</definedName>
    <definedName name="Z_7DFA21AA_4183_423A_B999_0761E3625647_.wvu.FilterData" localSheetId="1" hidden="1">设计成本优化提案反馈表!$A$4:$W$454</definedName>
    <definedName name="Z_7DFA21AA_4183_423A_B999_0761E3625647_.wvu.FilterData" localSheetId="2" hidden="1">样件评估!$B$3:$W$296</definedName>
    <definedName name="Z_7DFA21AA_4183_423A_B999_0761E3625647_.wvu.PrintArea" localSheetId="2" hidden="1">样件评估!$B$2:$V$13</definedName>
    <definedName name="Z_881B1504_9B8A_43A5_A708_3C80DA96DBA0_.wvu.FilterData" localSheetId="0" hidden="1">零部件成本及投资费评估!$B$5:$AQ$6</definedName>
    <definedName name="Z_881B1504_9B8A_43A5_A708_3C80DA96DBA0_.wvu.FilterData" localSheetId="1" hidden="1">设计成本优化提案反馈表!$A$4:$W$454</definedName>
    <definedName name="Z_F7905CE8_CB09_4A84_A581_12EB4F728D16_.wvu.FilterData" localSheetId="0" hidden="1">零部件成本及投资费评估!$B$5:$AQ$6</definedName>
    <definedName name="Z_F7905CE8_CB09_4A84_A581_12EB4F728D16_.wvu.FilterData" localSheetId="1" hidden="1">设计成本优化提案反馈表!$A$4:$W$454</definedName>
    <definedName name="Z_F7905CE8_CB09_4A84_A581_12EB4F728D16_.wvu.FilterData" localSheetId="2" hidden="1">样件评估!$B$3:$W$296</definedName>
    <definedName name="Z_F7905CE8_CB09_4A84_A581_12EB4F728D16_.wvu.PrintArea" localSheetId="2" hidden="1">样件评估!$B$2:$V$13</definedName>
    <definedName name="附件六、原材料价格联动调整单" localSheetId="1">#REF!</definedName>
    <definedName name="附件六、原材料价格联动调整单" localSheetId="2">#REF!</definedName>
    <definedName name="附件六、原材料价格联动调整单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zhangyan(张燕)(设计成本工程部)</author>
    <author>杜春苗</author>
  </authors>
  <commentList>
    <comment ref="D4" authorId="0">
      <text>
        <r>
          <rPr>
            <b/>
            <sz val="9"/>
            <rFont val="宋体"/>
            <charset val="134"/>
          </rPr>
          <t>下拉</t>
        </r>
        <r>
          <rPr>
            <sz val="9"/>
            <rFont val="宋体"/>
            <charset val="134"/>
          </rPr>
          <t xml:space="preserve">
</t>
        </r>
      </text>
    </comment>
    <comment ref="E4" authorId="0">
      <text>
        <r>
          <rPr>
            <b/>
            <sz val="9"/>
            <rFont val="宋体"/>
            <charset val="134"/>
          </rPr>
          <t>zhangyan(张燕)(设计成本工程部):</t>
        </r>
        <r>
          <rPr>
            <sz val="9"/>
            <rFont val="宋体"/>
            <charset val="134"/>
          </rPr>
          <t xml:space="preserve">
下拉</t>
        </r>
      </text>
    </comment>
    <comment ref="Q5" authorId="1">
      <text>
        <r>
          <rPr>
            <b/>
            <sz val="9"/>
            <rFont val="宋体"/>
            <charset val="134"/>
          </rPr>
          <t>需要和各专业确定有没有必要留下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<sst xmlns="http://schemas.openxmlformats.org/spreadsheetml/2006/main" count="5720" uniqueCount="1447">
  <si>
    <t>流程发起时填写</t>
  </si>
  <si>
    <t>核减
(KPI)</t>
  </si>
  <si>
    <t>正式上会前填（KPI记录）</t>
  </si>
  <si>
    <t>导出给采购</t>
  </si>
  <si>
    <t>基础信息</t>
  </si>
  <si>
    <t>SOR评估成本目标发布</t>
  </si>
  <si>
    <t>ECR评估成本目标发布</t>
  </si>
  <si>
    <t>SOR/ECR投资费用目标发布</t>
  </si>
  <si>
    <t>商务报价差异分析，采购定价支持</t>
  </si>
  <si>
    <t>序号</t>
  </si>
  <si>
    <t>成本专业</t>
  </si>
  <si>
    <t>二级系统</t>
  </si>
  <si>
    <t>三级系统</t>
  </si>
  <si>
    <t>评估人</t>
  </si>
  <si>
    <t>项目</t>
  </si>
  <si>
    <t>评估类型</t>
  </si>
  <si>
    <t>文件编号</t>
  </si>
  <si>
    <t>生效日期</t>
  </si>
  <si>
    <t>零件号</t>
  </si>
  <si>
    <t>零件名称</t>
  </si>
  <si>
    <t>SOR评估成本-入厂价 A（元/件)</t>
  </si>
  <si>
    <t>目标达成情况</t>
  </si>
  <si>
    <t>变更方案描述</t>
  </si>
  <si>
    <t>变更前零件号</t>
  </si>
  <si>
    <t>变更后零件号</t>
  </si>
  <si>
    <t>成本影响分析</t>
  </si>
  <si>
    <t>工装模具费用评估</t>
  </si>
  <si>
    <t>设计开发费用评估</t>
  </si>
  <si>
    <t>采购定价协同（针对报价不达标部件）</t>
  </si>
  <si>
    <t>评估值</t>
  </si>
  <si>
    <t>出厂价</t>
  </si>
  <si>
    <t>包装</t>
  </si>
  <si>
    <t>物流</t>
  </si>
  <si>
    <t>仓储</t>
  </si>
  <si>
    <t>成本分解目标
B</t>
  </si>
  <si>
    <t>差额
(A-B)</t>
  </si>
  <si>
    <t>目标达成率
A/B（%）</t>
  </si>
  <si>
    <t>原成本
（评估成本）</t>
  </si>
  <si>
    <t>成本变化</t>
  </si>
  <si>
    <t>变更后成本</t>
  </si>
  <si>
    <t>工装模具数量
（个）</t>
  </si>
  <si>
    <t>工装模具费报价
 (元)</t>
  </si>
  <si>
    <t>工装模具费评估
（元）</t>
  </si>
  <si>
    <t>差值/元
(评估-报价)</t>
  </si>
  <si>
    <t>设计工时数
（人天）</t>
  </si>
  <si>
    <t>设计费用</t>
  </si>
  <si>
    <t>试验费用</t>
  </si>
  <si>
    <t>标定费用</t>
  </si>
  <si>
    <t>RP件</t>
  </si>
  <si>
    <t>评估合计
（元）</t>
  </si>
  <si>
    <t>开发费报价
（元）</t>
  </si>
  <si>
    <t>采购输入报价
C</t>
  </si>
  <si>
    <t>报价-评估
C-A</t>
  </si>
  <si>
    <t>最终报价
D</t>
  </si>
  <si>
    <t>商谈协同结果
D-C</t>
  </si>
  <si>
    <t>N60AS-F19</t>
  </si>
  <si>
    <t>SOR</t>
  </si>
  <si>
    <t>E00187174</t>
  </si>
  <si>
    <t>电子制动集成模块</t>
  </si>
  <si>
    <t>设计成本优化提案反馈表</t>
  </si>
  <si>
    <t>NO</t>
  </si>
  <si>
    <t>项目代号</t>
  </si>
  <si>
    <t>零部件号</t>
  </si>
  <si>
    <t>零部件名称</t>
  </si>
  <si>
    <t>提案来源</t>
  </si>
  <si>
    <t>时间</t>
  </si>
  <si>
    <t>设计成本优化提案（方案评审及商务谈判阶段）</t>
  </si>
  <si>
    <t>开发环节</t>
  </si>
  <si>
    <t>实施时间</t>
  </si>
  <si>
    <t>未实施原因</t>
  </si>
  <si>
    <t>原方案描述</t>
  </si>
  <si>
    <t>优化提案描述</t>
  </si>
  <si>
    <t>实施情况</t>
  </si>
  <si>
    <t>提案总数量
（个）</t>
  </si>
  <si>
    <t>实施方案数量
（个）</t>
  </si>
  <si>
    <t>提案降本总金额
（元/车）</t>
  </si>
  <si>
    <t>实施金额
元/车</t>
  </si>
  <si>
    <t>工装费节约
（万元）</t>
  </si>
  <si>
    <t>开发费节约
（万元）</t>
  </si>
  <si>
    <t>方案设计</t>
  </si>
  <si>
    <t>定点定价</t>
  </si>
  <si>
    <t>EP</t>
  </si>
  <si>
    <t>N50AB-F03</t>
  </si>
  <si>
    <t>E00165922</t>
  </si>
  <si>
    <t>主动进气格栅总成</t>
  </si>
  <si>
    <t>方案评审</t>
  </si>
  <si>
    <t>2025.1.13</t>
  </si>
  <si>
    <t>杜春苗</t>
  </si>
  <si>
    <t>叶片外板ASA高光免喷</t>
  </si>
  <si>
    <t>叶片外板PA6-GF30皮纹</t>
  </si>
  <si>
    <t>已实施</t>
  </si>
  <si>
    <t>√</t>
  </si>
  <si>
    <t>叶片内板PA6-GF30注塑</t>
  </si>
  <si>
    <t>取消内板，改成单板</t>
  </si>
  <si>
    <t>叶片总重量1.0kg</t>
  </si>
  <si>
    <t>叶片总重量0.46kg</t>
  </si>
  <si>
    <t>取消四组叶片内外板熔接焊焊接过程</t>
  </si>
  <si>
    <t>内外板通过熔接焊连接，一个叶片12个焊点，合计48个焊点；</t>
  </si>
  <si>
    <t>N62AS</t>
  </si>
  <si>
    <t>E00158501</t>
  </si>
  <si>
    <t>门系统</t>
  </si>
  <si>
    <t>2025.1.15</t>
  </si>
  <si>
    <t>孙文娟</t>
  </si>
  <si>
    <t>中饰板厚度2.5mm</t>
  </si>
  <si>
    <t>中饰板变更为2.3mm</t>
  </si>
  <si>
    <t>地图袋厚度2.5mm</t>
  </si>
  <si>
    <t>地图袋变更为2.2mm</t>
  </si>
  <si>
    <t>PVC包覆1+3</t>
  </si>
  <si>
    <t>PVC包覆1+2</t>
  </si>
  <si>
    <t>未实施</t>
  </si>
  <si>
    <t>扶手（开关面板底座）PVC包覆</t>
  </si>
  <si>
    <t>取消PVC包覆，变更为硬质注塑</t>
  </si>
  <si>
    <t>彩色PVD装饰条</t>
  </si>
  <si>
    <t>取消彩色PVD装饰条</t>
  </si>
  <si>
    <t>低音扬声器电镀装饰圈</t>
  </si>
  <si>
    <t>低音扬声器LOGO盖板</t>
  </si>
  <si>
    <t>地图袋植绒</t>
  </si>
  <si>
    <t>取消植绒</t>
  </si>
  <si>
    <t>氛围灯电镀装饰条</t>
  </si>
  <si>
    <t>取消氛围灯装饰条</t>
  </si>
  <si>
    <t>前后门金属扬声器罩</t>
  </si>
  <si>
    <t>取消前后门扬声器罩表面PVD</t>
  </si>
  <si>
    <t>内扣手</t>
  </si>
  <si>
    <t>内扣手借用C46DB</t>
  </si>
  <si>
    <t>E00162843</t>
  </si>
  <si>
    <t>顶衬系统</t>
  </si>
  <si>
    <t>SOR评审</t>
  </si>
  <si>
    <t>2025.1.3</t>
  </si>
  <si>
    <t>廉大伟</t>
  </si>
  <si>
    <t>天窗框及支架采用PC+ABS类材质</t>
  </si>
  <si>
    <t>天窗框及支架材质改用ABS+GF30</t>
  </si>
  <si>
    <t>支架强度要求（内饰科  赵艳）</t>
  </si>
  <si>
    <t>顶棚阅读灯骨架单独注塑</t>
  </si>
  <si>
    <t>顶棚阅读灯骨架与顶棚天窗支架集成注塑</t>
  </si>
  <si>
    <t>1.模具成本增加；
2.单个骨架有问题时，整个模具都需要拉出去修；（内饰科  赵艳）</t>
  </si>
  <si>
    <t>前顶灯固定支架单独注塑</t>
  </si>
  <si>
    <t>前顶灯固定支架与顶棚天窗支架集成注塑</t>
  </si>
  <si>
    <t>顶衬前后包边</t>
  </si>
  <si>
    <t>顶衬前部不包边</t>
  </si>
  <si>
    <t>影响视觉感知及精致性（SQE  黄钰）（内饰科  赵艳）</t>
  </si>
  <si>
    <t>顶衬尾部不包边</t>
  </si>
  <si>
    <t>吸附降解材料克重180g/㎡</t>
  </si>
  <si>
    <t>吸附降解材料克重60g/㎡</t>
  </si>
  <si>
    <t>部分实施</t>
  </si>
  <si>
    <t>吸附降解材料克重降低，整车VOC指标无法达成CN95A（非金属工艺及环保性能科 晁辉）
项目决策吸附降解材料克重90g/㎡</t>
  </si>
  <si>
    <t>前后端吸音棉双组份400g/㎡</t>
  </si>
  <si>
    <t>取消吸音棉</t>
  </si>
  <si>
    <t>同基础车，影响NVH性能，不同意取消（NVH 张利明）</t>
  </si>
  <si>
    <t>N80KS</t>
  </si>
  <si>
    <t>E00155758/7</t>
  </si>
  <si>
    <t>左右后轮罩</t>
  </si>
  <si>
    <t>方案成本分析</t>
  </si>
  <si>
    <t>蔡川</t>
  </si>
  <si>
    <t>2.5kg/㎡EVA+PU</t>
  </si>
  <si>
    <t>2.5kg/㎡EVA+PU改单棉毡</t>
  </si>
  <si>
    <t>E00155462</t>
  </si>
  <si>
    <t>备胎盖板总成</t>
  </si>
  <si>
    <t>400g/㎡PET面料</t>
  </si>
  <si>
    <t>400g/㎡PET面料→300g/㎡</t>
  </si>
  <si>
    <t>备胎盖板有吸音棉</t>
  </si>
  <si>
    <t>备胎盖板取消吸音棉</t>
  </si>
  <si>
    <t>NVH不同意</t>
  </si>
  <si>
    <t>E00155760/59</t>
  </si>
  <si>
    <t>翼子板堵块左右</t>
  </si>
  <si>
    <t>PU发泡</t>
  </si>
  <si>
    <t>PU发泡→PP注塑+泡棉</t>
  </si>
  <si>
    <t>E00155763</t>
  </si>
  <si>
    <t>前围内隔音垫总成</t>
  </si>
  <si>
    <t>前围内6kg/㎡EVA</t>
  </si>
  <si>
    <t>前围内6kg/㎡EVA→4kg/㎡</t>
  </si>
  <si>
    <t>E00155762</t>
  </si>
  <si>
    <t>前围外隔音隔热垫</t>
  </si>
  <si>
    <t>前围外1 120g/㎡PET</t>
  </si>
  <si>
    <t>前围外2120g/㎡PET→70g/㎡</t>
  </si>
  <si>
    <t>E00159418</t>
  </si>
  <si>
    <t>前围外2 120g/㎡PET</t>
  </si>
  <si>
    <t>机盖120g/㎡PET→70g/㎡</t>
  </si>
  <si>
    <t>E00155764</t>
  </si>
  <si>
    <t>机盖隔音垫</t>
  </si>
  <si>
    <t>机盖120g/㎡PET</t>
  </si>
  <si>
    <t>E00158953/4/5/E00161265/6/7/E00161007</t>
  </si>
  <si>
    <t>地毯垫块</t>
  </si>
  <si>
    <t>地毯EPP垫块独立设计</t>
  </si>
  <si>
    <t>地毯EPP垫块设计在地毯下级件</t>
  </si>
  <si>
    <t>左前地毯垫块发泡30倍率</t>
  </si>
  <si>
    <t>左前地毯垫块发泡30倍率→35倍率降重</t>
  </si>
  <si>
    <t>右前地毯垫块发泡30倍率</t>
  </si>
  <si>
    <t>右前地毯垫块发泡30倍率→35倍率降重</t>
  </si>
  <si>
    <t>后地毯垫块1发泡30倍率</t>
  </si>
  <si>
    <t>后地毯垫块1发泡30倍率→35倍率降重</t>
  </si>
  <si>
    <t>后地毯垫块2发泡30倍率</t>
  </si>
  <si>
    <t>后地毯垫块2发泡30倍率→35倍率降重</t>
  </si>
  <si>
    <t>行李箱地毯支撑块1发泡30倍率</t>
  </si>
  <si>
    <t>行李箱地毯支撑块1发泡30倍率→35倍率降重</t>
  </si>
  <si>
    <t>行李箱地毯支撑块2发泡30倍率</t>
  </si>
  <si>
    <t>行李箱地毯支撑块2发泡30倍率→35倍率降重</t>
  </si>
  <si>
    <t>E00162734/E00160027/E00155473/E00155478/E00155761</t>
  </si>
  <si>
    <t>地毯总成</t>
  </si>
  <si>
    <t>簇绒毯面克重600g/㎡</t>
  </si>
  <si>
    <t>针刺毯面克重450g/㎡</t>
  </si>
  <si>
    <t>SBR+PE膜+混胶毡+PA/PE 膜</t>
  </si>
  <si>
    <t>SBR+PE膜+EVA3+PET</t>
  </si>
  <si>
    <t>150g/㎡吸附讲解材料</t>
  </si>
  <si>
    <t>取消吸附讲解材料</t>
  </si>
  <si>
    <t>EVA克重4500g/㎡</t>
  </si>
  <si>
    <t>EVA克重3400g/㎡</t>
  </si>
  <si>
    <t>左前地毯脚歇板</t>
  </si>
  <si>
    <t>取消脚歇板</t>
  </si>
  <si>
    <t>后续量产根据市场情况降本</t>
  </si>
  <si>
    <t>前地毯PU垫块重量2.7kg</t>
  </si>
  <si>
    <t>前地毯PU垫块重量1.5kg</t>
  </si>
  <si>
    <t>后地毯PU垫块重量5.4kg</t>
  </si>
  <si>
    <t>后地毯PU垫块重量2.52kg</t>
  </si>
  <si>
    <t>C72KS</t>
  </si>
  <si>
    <t>E00164609/8/7</t>
  </si>
  <si>
    <t>前后拉手总成</t>
  </si>
  <si>
    <t>右前安全拉手面板喷漆</t>
  </si>
  <si>
    <t>取消右前安全拉手面板喷漆</t>
  </si>
  <si>
    <t>已推动CMF更改，喷漆更改为细磨砂纹，TG2体现</t>
  </si>
  <si>
    <t>左后安全拉手面板喷漆</t>
  </si>
  <si>
    <t>取消左后安全拉手面板喷漆</t>
  </si>
  <si>
    <t>右后安全拉手面板喷漆</t>
  </si>
  <si>
    <t>取消右后安全拉手面板喷漆</t>
  </si>
  <si>
    <t>右前安全拉手装饰盖安装座喷漆</t>
  </si>
  <si>
    <t>取消右前安全拉手装饰盖安装座喷漆</t>
  </si>
  <si>
    <t>左后安全拉手装饰盖安装座喷漆</t>
  </si>
  <si>
    <t>取消左后安全拉手装饰盖安装座喷漆</t>
  </si>
  <si>
    <t>右后安全拉手装饰盖安装座喷漆</t>
  </si>
  <si>
    <t>取消右后安全拉手装饰盖安装座喷漆</t>
  </si>
  <si>
    <t>右前安全拉手设计装饰亮条</t>
  </si>
  <si>
    <t>取消右前安全拉手装饰亮条</t>
  </si>
  <si>
    <t>影响造型效果，造型不同意</t>
  </si>
  <si>
    <t>左后安全拉手设计装饰亮条</t>
  </si>
  <si>
    <t>取消左后安全拉手装饰亮条</t>
  </si>
  <si>
    <t>右后安全拉手设计装饰亮条</t>
  </si>
  <si>
    <t>取消右后安全拉手装饰亮条</t>
  </si>
  <si>
    <t>E00167258</t>
  </si>
  <si>
    <t>仪表板系统</t>
  </si>
  <si>
    <t>2025.1.9</t>
  </si>
  <si>
    <t>赵前攀</t>
  </si>
  <si>
    <t>转向管柱下护罩总成pvc包覆</t>
  </si>
  <si>
    <t>转向管柱改为上下护罩结构取消pvc包覆</t>
  </si>
  <si>
    <t>仪表板中央网罩注塑</t>
  </si>
  <si>
    <t>仪表板中央网罩与中下饰板合并</t>
  </si>
  <si>
    <t>仪表板中下饰板亮条PVD</t>
  </si>
  <si>
    <t>取消仪表板中下饰板亮条</t>
  </si>
  <si>
    <t>副仪表板饰条PVD</t>
  </si>
  <si>
    <t>副仪表板饰条取消</t>
  </si>
  <si>
    <t>杯托为翻盖式，盖板PC双色注塑</t>
  </si>
  <si>
    <t>取消杯托盖板，改为敞口式杯托</t>
  </si>
  <si>
    <t>仪表板左右下挡板粘贴双组份吸音棉</t>
  </si>
  <si>
    <t>取消仪表板左右下挡板吸音棉</t>
  </si>
  <si>
    <t>副仪表板下层储物左/右挡板本体注塑+PVD亮条</t>
  </si>
  <si>
    <t>取消副仪表板下层储物左/右挡板总成</t>
  </si>
  <si>
    <t>仪表板上盖板PVC包覆</t>
  </si>
  <si>
    <t>仪表板上盖板取消PVC包覆</t>
  </si>
  <si>
    <t>HUD面罩表面植绒</t>
  </si>
  <si>
    <t>HUD面罩表面取消植绒</t>
  </si>
  <si>
    <t>扬声器罩盖透音织物包覆</t>
  </si>
  <si>
    <t>扬声器罩盖取消织物包覆，变更为皮纹注塑</t>
  </si>
  <si>
    <t>E00157585/E00157584</t>
  </si>
  <si>
    <t>左行李架总成/右行李架总成</t>
  </si>
  <si>
    <t>蔡诗瑶</t>
  </si>
  <si>
    <t>单车支撑铝块重1.49kg</t>
  </si>
  <si>
    <t>单车支撑铝块重0.272kg</t>
  </si>
  <si>
    <t>有前中后侧饰板</t>
  </si>
  <si>
    <t>取消前中后侧饰板</t>
  </si>
  <si>
    <t>行李架表面阳极氧化</t>
  </si>
  <si>
    <t>行李架表面高亮黑喷粉</t>
  </si>
  <si>
    <t>E00166938</t>
  </si>
  <si>
    <t>前机舱导风板</t>
  </si>
  <si>
    <t>2025.1.8</t>
  </si>
  <si>
    <t>马强</t>
  </si>
  <si>
    <t>PP-GF30</t>
  </si>
  <si>
    <t>PP-T20</t>
  </si>
  <si>
    <t>E00166937</t>
  </si>
  <si>
    <t>散热器下导风板</t>
  </si>
  <si>
    <t>E00166935</t>
  </si>
  <si>
    <t>右导风板</t>
  </si>
  <si>
    <t>E00167119</t>
  </si>
  <si>
    <t xml:space="preserve"> 前保险杠上支架</t>
  </si>
  <si>
    <t>料厚1.8mm，0.3kg</t>
  </si>
  <si>
    <t>料厚1.2mm，0.2kg</t>
  </si>
  <si>
    <t>E00157657
E00160088
E00157659
E00157656
E00160085
E00157658
E00157644/E00157645
E00160075/E00157637 
E00157638/E00160071</t>
  </si>
  <si>
    <t>座椅总成</t>
  </si>
  <si>
    <t>SOR成本分析</t>
  </si>
  <si>
    <t>汤倩</t>
  </si>
  <si>
    <t>前后排座椅配有damper</t>
  </si>
  <si>
    <t>取消前后排座椅damper</t>
  </si>
  <si>
    <t>E00157657/E00157656</t>
  </si>
  <si>
    <t>低配前排座椅通风加热</t>
  </si>
  <si>
    <t>低配前排座椅取消通风加热</t>
  </si>
  <si>
    <t>E00157659/E00157658</t>
  </si>
  <si>
    <t>高配前排座椅石墨烯加热</t>
  </si>
  <si>
    <t>高配前排座椅电阻丝加热</t>
  </si>
  <si>
    <t>E00157644/E00157637</t>
  </si>
  <si>
    <t>低配后排座椅通风</t>
  </si>
  <si>
    <t>低配后排座椅取消通风</t>
  </si>
  <si>
    <t xml:space="preserve">E00157645/
E00160075/
E00157638/
E00160071 </t>
  </si>
  <si>
    <t>中高配后排座椅电动4向腿托</t>
  </si>
  <si>
    <t>中高配后排座椅电动2向腿托</t>
  </si>
  <si>
    <t>N50AS</t>
  </si>
  <si>
    <t>E00163348/7</t>
  </si>
  <si>
    <t>后轮罩隔音垫左右</t>
  </si>
  <si>
    <t>后轮罩左2.5kg/㎡EVA+PU改单棉毡</t>
  </si>
  <si>
    <t>后轮罩右2.5kg/㎡EVA+PU改单棉毡</t>
  </si>
  <si>
    <t>180g/㎡吸附降解材料+200g/㎡无纺布+225g/㎡PE胶粉</t>
  </si>
  <si>
    <t>后轮罩左取消吸附讲解材料</t>
  </si>
  <si>
    <t>后轮罩右取消吸附讲解材料</t>
  </si>
  <si>
    <t>E00163351</t>
  </si>
  <si>
    <t>前围内隔音垫</t>
  </si>
  <si>
    <t>前围内隔音垫取消吸附讲解材料</t>
  </si>
  <si>
    <t>E00163346</t>
  </si>
  <si>
    <t>后围内隔音垫</t>
  </si>
  <si>
    <t>后围内隔音垫取消吸附讲解材料</t>
  </si>
  <si>
    <t>E00163424</t>
  </si>
  <si>
    <t>随车工具盒</t>
  </si>
  <si>
    <t>EPP储物盒重量约1.6kg</t>
  </si>
  <si>
    <t>重量优化，减重处理</t>
  </si>
  <si>
    <t>E00166657</t>
  </si>
  <si>
    <t>储物盒侧端无储物功能，可减料</t>
  </si>
  <si>
    <t>储物盒侧端无储物功能部位减料</t>
  </si>
  <si>
    <t>支撑盖板用，无法取消</t>
  </si>
  <si>
    <t>C71KS-M01</t>
  </si>
  <si>
    <t>E00166074</t>
  </si>
  <si>
    <t>后侧围装饰板总成</t>
  </si>
  <si>
    <t>单组份吸音棉1000g/㎡</t>
  </si>
  <si>
    <t>双组份吸音棉200g/㎡</t>
  </si>
  <si>
    <t>NVH要求</t>
  </si>
  <si>
    <t>/</t>
  </si>
  <si>
    <t>顶衬总成</t>
  </si>
  <si>
    <t>加强框PC+ABS材质</t>
  </si>
  <si>
    <t>加强框PC+ABS材质改为ABS+GF30</t>
  </si>
  <si>
    <t>不能实施，加强框材质与基础车C71KB保持一致，更换后的材料未验证。</t>
  </si>
  <si>
    <t>降解吸附材料120g/㎡</t>
  </si>
  <si>
    <t>降解吸附材料60g/㎡</t>
  </si>
  <si>
    <t>金属喇叭罩</t>
  </si>
  <si>
    <t>低配金属喇叭罩改为塑料喇叭罩</t>
  </si>
  <si>
    <t>品质提升项</t>
  </si>
  <si>
    <t>轮罩护板</t>
  </si>
  <si>
    <t>李磊</t>
  </si>
  <si>
    <t>轮罩护板双层板结构</t>
  </si>
  <si>
    <t>轮罩护板变更为单层板结构（参照埃安Y）</t>
  </si>
  <si>
    <t>单层板喷漆表面缩痕不可控</t>
  </si>
  <si>
    <t>轮罩护板表面车身色喷漆</t>
  </si>
  <si>
    <t>取消轮罩护板表面喷漆</t>
  </si>
  <si>
    <t>经与项目、造型开会决策按喷漆方案执行</t>
  </si>
  <si>
    <t>车门下部装饰板</t>
  </si>
  <si>
    <t>车门下部装饰板双层板结构</t>
  </si>
  <si>
    <t>车门下部装饰板变更为单层板结构</t>
  </si>
  <si>
    <t>内板需和车门下边界匹配及安装车门密封条，单层板无法实现</t>
  </si>
  <si>
    <t>无电镀饰条</t>
  </si>
  <si>
    <t>取消车门下部装饰板电镀饰条</t>
  </si>
  <si>
    <t>车门下部装饰板表面高光免喷涂+皮纹</t>
  </si>
  <si>
    <t>取消车门下部装饰板表面喷漆</t>
  </si>
  <si>
    <t>E00167215</t>
  </si>
  <si>
    <t>前保左右饰条</t>
  </si>
  <si>
    <t>2025.2.8</t>
  </si>
  <si>
    <t>前保左右电镀饰条</t>
  </si>
  <si>
    <t>取消</t>
  </si>
  <si>
    <t>E00157437</t>
  </si>
  <si>
    <t>后保左右饰条</t>
  </si>
  <si>
    <t>后保左右电镀饰条</t>
  </si>
  <si>
    <t>前保左右侧饰件</t>
  </si>
  <si>
    <t>前保左右高黑免喷侧饰件</t>
  </si>
  <si>
    <t>后保左右侧饰件</t>
  </si>
  <si>
    <t>后保左右高黑免喷侧饰件</t>
  </si>
  <si>
    <t>前保中饰条</t>
  </si>
  <si>
    <t>前保中饰条喷银色漆</t>
  </si>
  <si>
    <t>造型不同意</t>
  </si>
  <si>
    <t>后保中饰条</t>
  </si>
  <si>
    <t>后保中饰条喷银色漆</t>
  </si>
  <si>
    <t>前保中电镀饰条</t>
  </si>
  <si>
    <t>后保中电镀饰条</t>
  </si>
  <si>
    <t>前保下本体</t>
  </si>
  <si>
    <t>前保下本体亮黑免喷</t>
  </si>
  <si>
    <t>前保下本体皮纹</t>
  </si>
  <si>
    <t>后保下本体</t>
  </si>
  <si>
    <t>后保下本体亮黑免喷</t>
  </si>
  <si>
    <t>后保下本体皮纹</t>
  </si>
  <si>
    <t>前保险下格栅及后保中饰</t>
  </si>
  <si>
    <t>前保险下格栅及后保中饰板高光黑免喷涂件：华硕/KANSIA F12Q/德莎50560等型号贴膜</t>
  </si>
  <si>
    <t>普通贴膜</t>
  </si>
  <si>
    <t>零部件质量不同意，后期划伤风险较大不易控制。</t>
  </si>
  <si>
    <t>E00159562/3</t>
  </si>
  <si>
    <t>左/右A柱外饰板总成</t>
  </si>
  <si>
    <t>饰板材质PC+ABS-MD15</t>
  </si>
  <si>
    <t>饰板材质改为PC+ABS</t>
  </si>
  <si>
    <t>目前造型方案，材料用PC+ABS在高温天气可能变形</t>
  </si>
  <si>
    <t>有电镀饰条</t>
  </si>
  <si>
    <t>取消电镀饰条</t>
  </si>
  <si>
    <t>造型定义</t>
  </si>
  <si>
    <t>饰板喷漆</t>
  </si>
  <si>
    <t>饰板喷漆改皮纹</t>
  </si>
  <si>
    <t>N51AS</t>
  </si>
  <si>
    <t>E00169085</t>
  </si>
  <si>
    <t>前保险杠总成</t>
  </si>
  <si>
    <t>2025.3.3</t>
  </si>
  <si>
    <t>前保险杠左/右饰盖</t>
  </si>
  <si>
    <t>前保险杠左/右饰条</t>
  </si>
  <si>
    <t>前保险杠左/右导流板</t>
  </si>
  <si>
    <t>前保侧支撑支架</t>
  </si>
  <si>
    <t>前保险杠左/右导流板，PP+EPDM-T20注塑</t>
  </si>
  <si>
    <t>改HDPE吹塑</t>
  </si>
  <si>
    <t>前保左右雾灯装饰盖高光黑免喷涂</t>
  </si>
  <si>
    <t>改皮纹</t>
  </si>
  <si>
    <t>前保左右侧导流板装饰件高光黑免喷涂</t>
  </si>
  <si>
    <t>雾灯装饰盖及侧导流板装饰件-贴膜：华硕/KANSIA F12Q/德莎50560等型号贴膜</t>
  </si>
  <si>
    <t>E00169131</t>
  </si>
  <si>
    <t>2025.3.11</t>
  </si>
  <si>
    <t>主叶片外板ASA高光免喷</t>
  </si>
  <si>
    <t>主叶片外板PA6-GF30皮纹</t>
  </si>
  <si>
    <t>从叶片外板ASA高光免喷</t>
  </si>
  <si>
    <t>从叶片外板PA6-GF30皮纹</t>
  </si>
  <si>
    <t>主叶片加强板PA6-GF30注塑</t>
  </si>
  <si>
    <t>从叶片加强板PA6-GF30注塑</t>
  </si>
  <si>
    <t>泡棉减薄到15*15</t>
  </si>
  <si>
    <t>叶片厚度4mm</t>
  </si>
  <si>
    <t>叶片厚度3mm</t>
  </si>
  <si>
    <t>单独连杆传动杆和卡夹</t>
  </si>
  <si>
    <t>取消连杆传动杆</t>
  </si>
  <si>
    <t>直接传动，电机输出轴传动到叶片
电机布置带毫米波雷达X向的后部，间接传动，电机输出轴传动轴和叶片在X向有错位10cm落差，所以需要通过传动杆链接到叶片</t>
  </si>
  <si>
    <t>取消卡夹</t>
  </si>
  <si>
    <t>研发反馈安装科博达电机必须要有小卡夹的，防止单机颤动</t>
  </si>
  <si>
    <t>B30XP</t>
  </si>
  <si>
    <t>A00121868</t>
  </si>
  <si>
    <t>左后轮罩隔音垫</t>
  </si>
  <si>
    <t>左轮罩隔音垫材质EVA3.0+PU发泡</t>
  </si>
  <si>
    <t>参考竞品大狗及小鹏和本品N51AB/N50AS等车型，材质EVA3.0+PU发泡优化为棉毡1500g/㎡热压</t>
  </si>
  <si>
    <t>A00140450</t>
  </si>
  <si>
    <t>右后轮罩隔音垫</t>
  </si>
  <si>
    <t>右轮罩隔音垫材质EVA3.0+PU发泡</t>
  </si>
  <si>
    <t xml:space="preserve">E00169620/1/2/E00162300 </t>
  </si>
  <si>
    <t>地毯EVA重层全部由3400g/㎡</t>
  </si>
  <si>
    <t>地毯EVA重层全部由3400g/㎡改成2300g/㎡</t>
  </si>
  <si>
    <t>PU垫块重量减低至5.03kg</t>
  </si>
  <si>
    <t>地毯PU垫块重量5.99kg，较重建议降低用量</t>
  </si>
  <si>
    <t>180g/㎡吸附降解材料已取消</t>
  </si>
  <si>
    <t>取消吸附降解材料</t>
  </si>
  <si>
    <t>前排地毯发泡重量1.88kg，后排地毯发泡重量3.15kg</t>
  </si>
  <si>
    <t>二排座椅下方发泡厚度降低到10mm，三排座椅下方发泡取消</t>
  </si>
  <si>
    <t>120g/㎡防水膜已取消</t>
  </si>
  <si>
    <t>取消防水膜</t>
  </si>
  <si>
    <t>注塑脚歇板</t>
  </si>
  <si>
    <t>项目建议先保留</t>
  </si>
  <si>
    <t>E00160724</t>
  </si>
  <si>
    <t>D柱饰板</t>
  </si>
  <si>
    <t>2025.03.13</t>
  </si>
  <si>
    <t>PMMA+ASA高亮黑免喷涂</t>
  </si>
  <si>
    <t>ASA高亮黑免喷涂</t>
  </si>
  <si>
    <t>ASA单板强度不够</t>
  </si>
  <si>
    <t xml:space="preserve">E00160723 </t>
  </si>
  <si>
    <t>车身同色喷漆饰板</t>
  </si>
  <si>
    <t>饰板材质PC+ABS</t>
  </si>
  <si>
    <t>饰板材质ABS</t>
  </si>
  <si>
    <t>强度不够</t>
  </si>
  <si>
    <t>饰板粘接胶</t>
  </si>
  <si>
    <t>饰板粘接胶取消</t>
  </si>
  <si>
    <t>E00157585</t>
  </si>
  <si>
    <t>行李架总成</t>
  </si>
  <si>
    <t>E00157584</t>
  </si>
  <si>
    <t>B30X</t>
  </si>
  <si>
    <t>A00122496/A00122499</t>
  </si>
  <si>
    <t>后门内饰板总成</t>
  </si>
  <si>
    <t>2025.03.11</t>
  </si>
  <si>
    <t>后门上饰板包覆</t>
  </si>
  <si>
    <t>取消后门上饰板包覆</t>
  </si>
  <si>
    <t>项目及销售评审</t>
  </si>
  <si>
    <t>A00122504</t>
  </si>
  <si>
    <t>后背门下饰板总成</t>
  </si>
  <si>
    <t>带300g吸音棉</t>
  </si>
  <si>
    <t>取消尾门吸音棉</t>
  </si>
  <si>
    <t>项目及NVH性能评审</t>
  </si>
  <si>
    <t>E00169749/1/8/0</t>
  </si>
  <si>
    <t>左侧/右侧/中央出风口总成</t>
  </si>
  <si>
    <t>2025.2.27</t>
  </si>
  <si>
    <t>左中右出风口壳体注塑+消光漆喷涂</t>
  </si>
  <si>
    <t>左中右出风口壳体取消消光漆喷涂</t>
  </si>
  <si>
    <t>需要后续主观评价壳体是否光泽度较高</t>
  </si>
  <si>
    <t>B41V-J6M</t>
  </si>
  <si>
    <t>B00049992</t>
  </si>
  <si>
    <t>扰流板总成</t>
  </si>
  <si>
    <t>PMMA+ASA</t>
  </si>
  <si>
    <t>PC+ABS</t>
  </si>
  <si>
    <t>B00050000</t>
  </si>
  <si>
    <t>3.5mm</t>
  </si>
  <si>
    <t>3.2mm</t>
  </si>
  <si>
    <t>研发反馈强度不够</t>
  </si>
  <si>
    <t>B00049994</t>
  </si>
  <si>
    <t>高亮黑喷涂</t>
  </si>
  <si>
    <t>皮纹</t>
  </si>
  <si>
    <t>研发反馈造型不同意</t>
  </si>
  <si>
    <t>2025.03.14</t>
  </si>
  <si>
    <t>织物仿麂皮面料克重300g/㎡</t>
  </si>
  <si>
    <t>针织面料克重250g/㎡</t>
  </si>
  <si>
    <t>造型要求</t>
  </si>
  <si>
    <t>天窗框材料PC/ABS类</t>
  </si>
  <si>
    <t>天窗框材料ABS或者PP类</t>
  </si>
  <si>
    <t>支架强度要求</t>
  </si>
  <si>
    <t>后排磁吸点位</t>
  </si>
  <si>
    <t>取消后排磁吸点位</t>
  </si>
  <si>
    <t>不同意取消，核心利益点</t>
  </si>
  <si>
    <t>顶衬吸附降解材料120g/㎡</t>
  </si>
  <si>
    <t>取消顶衬吸附降解材料</t>
  </si>
  <si>
    <t>侧围立柱系统</t>
  </si>
  <si>
    <t>2025.03.20</t>
  </si>
  <si>
    <t>AB上饰板仿麂皮织物包覆</t>
  </si>
  <si>
    <t>取消AB上饰板仿麂皮织物包覆，使用硬质注塑</t>
  </si>
  <si>
    <t>造型不同意，项目不同意</t>
  </si>
  <si>
    <t>取消AB上饰板仿麂皮包覆，使用全系织物面料</t>
  </si>
  <si>
    <t>后备箱4个锚点</t>
  </si>
  <si>
    <t>取消后备箱4个锚点</t>
  </si>
  <si>
    <t>三排扶手发泡垫块</t>
  </si>
  <si>
    <t>取消三排扶手发泡垫块（六座版）</t>
  </si>
  <si>
    <t>B柱饰板为带高调器滑板结构</t>
  </si>
  <si>
    <t>取消B柱高调器 改为固定式安全带，B柱可取消滑板相关零件</t>
  </si>
  <si>
    <t>安全带调节功能要求</t>
  </si>
  <si>
    <t>三排扶手衬垫（六座版）</t>
  </si>
  <si>
    <t>取消三排扶手衬垫（六座版）</t>
  </si>
  <si>
    <t>衣帽钩2个</t>
  </si>
  <si>
    <t>减少衣帽钩数量1个</t>
  </si>
  <si>
    <t>B柱中饰板PVC软包覆</t>
  </si>
  <si>
    <t>取消B柱中饰板PVC软包覆</t>
  </si>
  <si>
    <t>C柱下饰板软包</t>
  </si>
  <si>
    <t>取消C柱下饰板软包</t>
  </si>
  <si>
    <t>可变式杯托（六座版）</t>
  </si>
  <si>
    <t>取消可变式杯托（六座版）
改为普通杯托</t>
  </si>
  <si>
    <t>吸音棉400克重</t>
  </si>
  <si>
    <t>吸音棉400克重改为200克重</t>
  </si>
  <si>
    <t>NVH同意吸音棉减至300克重</t>
  </si>
  <si>
    <t>B60VS</t>
  </si>
  <si>
    <t>B00048201</t>
  </si>
  <si>
    <t>行李箱储物盒总成</t>
  </si>
  <si>
    <t>储物盒防异响PET数量30个</t>
  </si>
  <si>
    <t>储物盒防异响PET数量减少18个</t>
  </si>
  <si>
    <t>待装车验证后较少数量</t>
  </si>
  <si>
    <t>E00158537</t>
  </si>
  <si>
    <t>180g/㎡吸附降解材料已取消，同步取消辅助材料PE粉及无纺布</t>
  </si>
  <si>
    <t>前围内隔音垫取消吸附降解材料</t>
  </si>
  <si>
    <t>E00158536/5</t>
  </si>
  <si>
    <t>后轮罩隔音垫</t>
  </si>
  <si>
    <t>后轮罩隔音垫取消吸附降解材料</t>
  </si>
  <si>
    <t>后轮罩隔音垫材料已改为棉毡1500g/㎡ 模压</t>
  </si>
  <si>
    <t>后轮罩隔音垫EVA+PU材料改为棉毡1500g/㎡ 模压</t>
  </si>
  <si>
    <t>-</t>
  </si>
  <si>
    <t>后电机外隔音垫</t>
  </si>
  <si>
    <t>取消此件，做设计空间结构预留</t>
  </si>
  <si>
    <t>E00173273</t>
  </si>
  <si>
    <t>导风板</t>
  </si>
  <si>
    <t>2025.4.28</t>
  </si>
  <si>
    <t>改PP-T20</t>
  </si>
  <si>
    <t>E00173275</t>
  </si>
  <si>
    <t>双色注塑</t>
  </si>
  <si>
    <t>普通注塑</t>
  </si>
  <si>
    <t>一体大尺寸注塑</t>
  </si>
  <si>
    <t>改为分体小尺寸注塑</t>
  </si>
  <si>
    <t>X81KS</t>
  </si>
  <si>
    <t>整车座椅</t>
  </si>
  <si>
    <t>全车座椅PU面料</t>
  </si>
  <si>
    <t>座椅面套景中位置以外变更为PVC</t>
  </si>
  <si>
    <t>按照配置定义执行</t>
  </si>
  <si>
    <t>B0/B1为手动，B2/B3为电动</t>
  </si>
  <si>
    <t>三排座椅标配手动座椅</t>
  </si>
  <si>
    <t>手动座椅操作便利性差，电动可实现座椅联动</t>
  </si>
  <si>
    <t>B2/B3配置带加热</t>
  </si>
  <si>
    <t>三排座椅取消加热</t>
  </si>
  <si>
    <t>最高配座椅16点按摩</t>
  </si>
  <si>
    <t>最高配座椅8点按摩</t>
  </si>
  <si>
    <t>8点按摩标配，最高配16点，配置梯度差异需求</t>
  </si>
  <si>
    <t>二排座椅航空扶手</t>
  </si>
  <si>
    <t>二排座椅采用小扶手</t>
  </si>
  <si>
    <t>C37TB</t>
  </si>
  <si>
    <t>前挡泥板总成</t>
  </si>
  <si>
    <t>2025.4.25</t>
  </si>
  <si>
    <t>林柳秋</t>
  </si>
  <si>
    <t>PP+EPDM-TD20</t>
  </si>
  <si>
    <t>HDPE</t>
  </si>
  <si>
    <t>无气坝</t>
  </si>
  <si>
    <t>取消气坝</t>
  </si>
  <si>
    <t>吸音棉展开尺寸845*438，厚度15mm</t>
  </si>
  <si>
    <t>X90KS</t>
  </si>
  <si>
    <t>E00175430</t>
  </si>
  <si>
    <t>2025.4.24</t>
  </si>
  <si>
    <t>前保下本体高亮黑漆</t>
  </si>
  <si>
    <t>前保下本体皮纹处理</t>
  </si>
  <si>
    <t>待造型锁定后继续跟进</t>
  </si>
  <si>
    <t>前牌照安装板喷漆</t>
  </si>
  <si>
    <t>前牌照安装板皮纹</t>
  </si>
  <si>
    <t>雾灯盖板喷漆</t>
  </si>
  <si>
    <t>雾灯盖板皮纹</t>
  </si>
  <si>
    <t>下格栅+雾灯盖板+牌照板+下本体注塑</t>
  </si>
  <si>
    <t>减少分件：下格栅+雾灯盖板+牌照板+下本体其合为一体，皮纹</t>
  </si>
  <si>
    <t>E00175423</t>
  </si>
  <si>
    <t>后保险杠总成</t>
  </si>
  <si>
    <t>后保下本体高亮黑漆</t>
  </si>
  <si>
    <t>后保下本体皮纹处理</t>
  </si>
  <si>
    <t>后保下饰板银色金属漆喷漆</t>
  </si>
  <si>
    <t>调整分缝；面积减少一半（原喷漆面积1.189 m²，减少到0.595m²'，重量可减少1.5kg）</t>
  </si>
  <si>
    <t>E00175822</t>
  </si>
  <si>
    <t>2025.4.29</t>
  </si>
  <si>
    <t>前保下格栅免喷涂+热烫印</t>
  </si>
  <si>
    <t>前保下格栅改为皮纹处理、取消热烫印</t>
  </si>
  <si>
    <t>前保装饰条电镀</t>
  </si>
  <si>
    <t>前保装饰条银色喷漆</t>
  </si>
  <si>
    <t>前保装饰条银色免喷涂</t>
  </si>
  <si>
    <t>前保下格栅三段</t>
  </si>
  <si>
    <t>减少分件：前保下格栅三段改一体</t>
  </si>
  <si>
    <t>E00175817</t>
  </si>
  <si>
    <t>后保下饰板电镀</t>
  </si>
  <si>
    <t>后保下饰板喷银漆</t>
  </si>
  <si>
    <t>后保下饰板银色免喷涂</t>
  </si>
  <si>
    <t>后保下饰板电镀电镀面积0.941m2</t>
  </si>
  <si>
    <t>后保下饰板减小尺寸、电镀电镀面积0.457m2</t>
  </si>
  <si>
    <t>纯电储物盒及机舱覆盖件</t>
  </si>
  <si>
    <t>2025.04.11</t>
  </si>
  <si>
    <t>储物盒料厚3.0</t>
  </si>
  <si>
    <t>储物盒料厚2.5</t>
  </si>
  <si>
    <t>左右发动机装饰罩料厚3.0</t>
  </si>
  <si>
    <t>左右发动机装饰罩料厚2.5</t>
  </si>
  <si>
    <t>前保上装饰板料厚3.0</t>
  </si>
  <si>
    <t>前保上装饰板料厚2.5</t>
  </si>
  <si>
    <t>蘑菇搭扣10个</t>
  </si>
  <si>
    <t>取消蘑菇搭扣6个</t>
  </si>
  <si>
    <t>粘接力不够，项目不同意</t>
  </si>
  <si>
    <t>取消左右件</t>
  </si>
  <si>
    <t>左右发动机装饰罩</t>
  </si>
  <si>
    <t>项目评审取消左右件漏钣金不可行</t>
  </si>
  <si>
    <t>B41VS</t>
  </si>
  <si>
    <t>翼子板进气格栅</t>
  </si>
  <si>
    <t>2025.04.25</t>
  </si>
  <si>
    <t>取消丝印图案改成了凹特征造型</t>
  </si>
  <si>
    <t>丝印图案</t>
  </si>
  <si>
    <t>翼子板进气格栅本体ASA免喷注塑</t>
  </si>
  <si>
    <t>翼子板进气格栅本体车身同色喷漆</t>
  </si>
  <si>
    <t>与上部的扰流板侧饰板以及侧位下部D柱外饰板会有色差，不建议更改工艺</t>
  </si>
  <si>
    <t>翼子板进气格栅本体2.0料厚</t>
  </si>
  <si>
    <t>翼子板进气格栅本体2.5料厚</t>
  </si>
  <si>
    <t>强度不够，按压软</t>
  </si>
  <si>
    <t>卡扣数量3个</t>
  </si>
  <si>
    <t>卡扣数量4个</t>
  </si>
  <si>
    <t>卡接不紧</t>
  </si>
  <si>
    <t>翼子板进气格栅整体取消</t>
  </si>
  <si>
    <t>开发车身同色喷漆翼子板装饰件</t>
  </si>
  <si>
    <t>B30X-M06</t>
  </si>
  <si>
    <t>背门上装饰板（小书包）</t>
  </si>
  <si>
    <t>后背门装饰件本体ASA</t>
  </si>
  <si>
    <t>后背门装饰件本体PMMA+ASA</t>
  </si>
  <si>
    <t>ASA单板强度不投</t>
  </si>
  <si>
    <t>后背门装饰件本体免喷注塑改喷漆</t>
  </si>
  <si>
    <t>后背门装饰件本体3.2料厚</t>
  </si>
  <si>
    <t>后背门装饰件本体3.5料厚</t>
  </si>
  <si>
    <t>后背门外装饰板2.0料厚</t>
  </si>
  <si>
    <t>后背门外装饰板2.5料厚</t>
  </si>
  <si>
    <t>背门外装饰板和装饰件合二为一,装饰件遮蔽喷漆</t>
  </si>
  <si>
    <t>背门装饰板本体免喷注塑</t>
  </si>
  <si>
    <t>安装装饰板本体从外往里打螺栓，一体的实现不了前装</t>
  </si>
  <si>
    <t>背门装饰件车身同色喷漆</t>
  </si>
  <si>
    <t>小书包不可开启装饰件建议整体取消</t>
  </si>
  <si>
    <t>小书包按不可开启装饰件开发</t>
  </si>
  <si>
    <t>规划不同意</t>
  </si>
  <si>
    <t>2025.5.25</t>
  </si>
  <si>
    <t>扰流板左右侧饰条TPV胶条</t>
  </si>
  <si>
    <t>扰流板左右侧饰条EPDM泡棉</t>
  </si>
  <si>
    <t>胶条作用是遮挡并且外漏，用泡棉无作用</t>
  </si>
  <si>
    <t>扰流板侧饰板PC+ABS注塑</t>
  </si>
  <si>
    <t>扰流板侧饰板ABS注塑</t>
  </si>
  <si>
    <t>扰流板上本体PC+ABS-MD15</t>
  </si>
  <si>
    <t>扰流板上本体改为PA+ABS</t>
  </si>
  <si>
    <t>不加MD15，容易出现高温变形，影响DTS</t>
  </si>
  <si>
    <t>扰流板下本体PC+ABS-MD15</t>
  </si>
  <si>
    <t>扰流板下本体改为PA+ABS</t>
  </si>
  <si>
    <t>侧饰板外板厚度2.5mm</t>
  </si>
  <si>
    <t>侧饰板内板厚度2.0mm</t>
  </si>
  <si>
    <t>侧饰板外板厚度3.2mm</t>
  </si>
  <si>
    <t>侧饰板外板厚度3.0mm</t>
  </si>
  <si>
    <t>扰流板侧饰板内板ABS注塑</t>
  </si>
  <si>
    <t>取消内板，改成单层板</t>
  </si>
  <si>
    <t>怕外观缩印，按照双层报价，后续根据定点供应商意见确定是否单层板</t>
  </si>
  <si>
    <t>扰流板下本体喷高亮黑漆</t>
  </si>
  <si>
    <t>扰流板下本体喷漆改PMMA+ASA亮黑免喷注塑</t>
  </si>
  <si>
    <t>不建议，因为这个产品要压合，高亮黑的在压合过程中会出现划伤，还没办法返修</t>
  </si>
  <si>
    <t>扰流板下本体喷漆改ASA亮黑免喷注塑</t>
  </si>
  <si>
    <t>研发反馈高亮免喷耐刮擦不过</t>
  </si>
  <si>
    <t>扰流板上下本体及侧饰板内外板粘接</t>
  </si>
  <si>
    <t>扰流板上下本体及侧饰板内外板穿刺焊接</t>
  </si>
  <si>
    <t>低成本方案焊接，研发反馈节奏慢，容易有质量问题</t>
  </si>
  <si>
    <t>扰流板下本体喷漆改ABS皮纹注塑</t>
  </si>
  <si>
    <t>下本体局部外漏，皮纹不符合造型色彩定义</t>
  </si>
  <si>
    <t>主驾驶员气囊</t>
  </si>
  <si>
    <t>ABS电镀+丝印+遮蔽喷漆</t>
  </si>
  <si>
    <t>PC+ABS注塑基座
镜面铝标+丝印+喷漆+光影机加工+冲压</t>
  </si>
  <si>
    <t>华为要求造型效果不同意</t>
  </si>
  <si>
    <t>N40QB</t>
  </si>
  <si>
    <t>TBD</t>
  </si>
  <si>
    <t xml:space="preserve">上盖板总成：免弱化仿麂皮PVC改为普通仿麂皮PVC </t>
  </si>
  <si>
    <t xml:space="preserve">上盖板：仿麂皮PVC+3D-MESH包覆 </t>
  </si>
  <si>
    <t>取消3D-MESH</t>
  </si>
  <si>
    <t>仪表板左下储物盒总成：</t>
  </si>
  <si>
    <t xml:space="preserve">仪表板左下储物盒总成：取消 </t>
  </si>
  <si>
    <t>仪表板储物盒总成：抽屉式</t>
  </si>
  <si>
    <t xml:space="preserve">仪表板储物盒总成：改为敞口式 </t>
  </si>
  <si>
    <t xml:space="preserve">材料由PC+ABS改为pc+abs，喷漆 </t>
  </si>
  <si>
    <t xml:space="preserve">材料由PC+ABS改为PP+EPDM-TD20，取消喷漆 </t>
  </si>
  <si>
    <t>字符标：标牌，电镀</t>
  </si>
  <si>
    <t xml:space="preserve">字符标：改为热烫印 </t>
  </si>
  <si>
    <t>无线充电面板表皮：仿麂皮PVC</t>
  </si>
  <si>
    <t xml:space="preserve">无线充电面板表皮：仿麂皮PVC改为双色注塑(参考C66) </t>
  </si>
  <si>
    <t>杯托：升降杯托升降杯托</t>
  </si>
  <si>
    <t xml:space="preserve">杯托：升降杯托改为敞口夹持式杯托 </t>
  </si>
  <si>
    <t xml:space="preserve">手套箱内斗、副仪表板后储物盒、仪表板储物盒：植绒 </t>
  </si>
  <si>
    <t xml:space="preserve">手套箱内斗、副仪表板后储物盒、仪表板储物盒：取消植绒 </t>
  </si>
  <si>
    <t>中央屏遮挡盖板、组合仪表屏遮挡盖板：PC/ABS改为喷漆</t>
  </si>
  <si>
    <t>中央屏遮挡盖板、组合仪表屏遮挡盖板：PC/ABS改为PP-EPDM+TD20，取消喷漆</t>
  </si>
  <si>
    <t>前除霜风道上盖板：仿麂皮PVC包覆</t>
  </si>
  <si>
    <t>前除霜风道上盖板：取消仿麂皮PVC包覆，改为注塑皮纹</t>
  </si>
  <si>
    <t>仪表板左/右下挡板取消</t>
  </si>
  <si>
    <t>仪表板左/右装饰条电镀，</t>
  </si>
  <si>
    <t>仪表板左/右装饰条取消电镀，改为金属质感免喷涂注塑，(参考N51AB项目）</t>
  </si>
  <si>
    <t>仪表板左下护板总成温度传感器支架与下护板分别设计</t>
  </si>
  <si>
    <t>仪表板左下护板总成温度传感器支架与下护板合并设计</t>
  </si>
  <si>
    <t>转向管柱下护罩总成手柄挡皮</t>
  </si>
  <si>
    <t>转向管柱下护罩总成取消手柄挡皮</t>
  </si>
  <si>
    <t>扶手箱垫取消垫子</t>
  </si>
  <si>
    <t>前储物盒垫取消垫子</t>
  </si>
  <si>
    <t>副仪表板扶手总成左右分别开启</t>
  </si>
  <si>
    <t>副仪表板扶手总成左右分别开启改为前后开启</t>
  </si>
  <si>
    <t>副仪表板上装饰板本体INS工艺</t>
  </si>
  <si>
    <t>副仪表板上装饰板本体INS改为喷漆工艺</t>
  </si>
  <si>
    <t>天窗框及支架采用PC+ABS+GF20类材质</t>
  </si>
  <si>
    <t>顶衬长3m，尺寸较大，支架强度要求较高</t>
  </si>
  <si>
    <t>垫块数量24个</t>
  </si>
  <si>
    <t>垫块数量16个</t>
  </si>
  <si>
    <t>顶衬长3m，尺寸较大
ABC柱，门洞密封条位置均有按压刚度要求；</t>
  </si>
  <si>
    <t>外观质量要求，前部顾客感知区域，容易看见毛边</t>
  </si>
  <si>
    <t>吸附降解材料克重100g/㎡</t>
  </si>
  <si>
    <t>吸附降解材料克重降低50%</t>
  </si>
  <si>
    <t>VOC加严20%；增加常温气味要求≤3.0；要求提升</t>
  </si>
  <si>
    <t>E00176632</t>
  </si>
  <si>
    <t>后地毯总成</t>
  </si>
  <si>
    <t>后地毯总成，EVA2000g/m2</t>
  </si>
  <si>
    <t>后地毯总成，EVA克重从3400降为2000g/m2</t>
  </si>
  <si>
    <t>E00176631</t>
  </si>
  <si>
    <t>行李箱地毯</t>
  </si>
  <si>
    <t>行李箱地毯，EVA2000g/m2</t>
  </si>
  <si>
    <t>行李箱地毯，EVA2500g/m2降为2000g/m2</t>
  </si>
  <si>
    <t>行李箱地毯无吸附降解材料</t>
  </si>
  <si>
    <t>行李箱地毯取消吸附降解材料</t>
  </si>
  <si>
    <t>E00176633</t>
  </si>
  <si>
    <t>前地毯总成</t>
  </si>
  <si>
    <t>前地毯总成，EVA2000g/m2</t>
  </si>
  <si>
    <t>前地毯总成，EVA克重从3400降为2000g/m2</t>
  </si>
  <si>
    <t>NVH否决</t>
  </si>
  <si>
    <t>E00176633/2</t>
  </si>
  <si>
    <t>地毯全系pu重量7.55kg</t>
  </si>
  <si>
    <t>地毯全系pu重量7.55→5.82kg（参考N80KS）</t>
  </si>
  <si>
    <t>后期数据优化，暂按SOR信息执行</t>
  </si>
  <si>
    <t>地毯全系EPP重量2.71kg</t>
  </si>
  <si>
    <t>地毯全系EPP重量2.71→2.51kg（参考N80KS）</t>
  </si>
  <si>
    <t>E00176627/28/29/30</t>
  </si>
  <si>
    <t>EPP垫块</t>
  </si>
  <si>
    <t>减少23个</t>
  </si>
  <si>
    <t>防异响无纺布数量减少</t>
  </si>
  <si>
    <t>E00169782/3/E00174863</t>
  </si>
  <si>
    <t>标配取消吸附粉</t>
  </si>
  <si>
    <t>地毯吸附材料改选装
与基础车一致</t>
  </si>
  <si>
    <t>E00169775/4/E00176355</t>
  </si>
  <si>
    <t>行李箱侧饰板</t>
  </si>
  <si>
    <t>行李箱侧饰板有吸音棉</t>
  </si>
  <si>
    <t>行李箱侧饰板取消吸音棉</t>
  </si>
  <si>
    <t>E00169780/1</t>
  </si>
  <si>
    <t xml:space="preserve"> 前围内隔音垫EVA6</t>
  </si>
  <si>
    <t xml:space="preserve"> 前围内隔音垫EVA6→4kg/㎡</t>
  </si>
  <si>
    <t>E00174862/1/E00169776</t>
  </si>
  <si>
    <t>前围外及后电机外隔音垫</t>
  </si>
  <si>
    <t>前围外及后电机外隔音垫半固化毡材料</t>
  </si>
  <si>
    <t>前围外及后电机外隔音垫轻质泡棉→半固化毡</t>
  </si>
  <si>
    <t>顶衬强度性能要求</t>
  </si>
  <si>
    <t>顶衬基材克重1500g/㎡</t>
  </si>
  <si>
    <t>顶衬基材克重900g/㎡</t>
  </si>
  <si>
    <t>后侧围金属喇叭罩</t>
  </si>
  <si>
    <t>注塑成型喇叭罩</t>
  </si>
  <si>
    <t>造型不同意更改</t>
  </si>
  <si>
    <t>后门槛不锈钢饰条</t>
  </si>
  <si>
    <t>取消后门槛不锈钢饰条</t>
  </si>
  <si>
    <t>功能定义不可更改</t>
  </si>
  <si>
    <t>C柱衣帽钩2个</t>
  </si>
  <si>
    <t>取消C柱衣帽钩</t>
  </si>
  <si>
    <t>左右B柱下饰板PVC手工包覆</t>
  </si>
  <si>
    <t>左右B柱下饰板注塑+皮纹</t>
  </si>
  <si>
    <t>左右C柱下饰板由PVC手工包覆</t>
  </si>
  <si>
    <t>左右C柱下饰板注塑+皮纹</t>
  </si>
  <si>
    <t>NVH不同意更改</t>
  </si>
  <si>
    <t>E00167597</t>
  </si>
  <si>
    <t>2025.6.30</t>
  </si>
  <si>
    <t>后保下饰板高亮黑喷漆</t>
  </si>
  <si>
    <t>后保下饰板皮纹</t>
  </si>
  <si>
    <t>后保下本体高亮黑喷漆</t>
  </si>
  <si>
    <t>后部下本体与下饰板分体</t>
  </si>
  <si>
    <t>后部下本体与下饰板一体</t>
  </si>
  <si>
    <t>E00174124</t>
  </si>
  <si>
    <t>前保下格栅高亮黑喷漆</t>
  </si>
  <si>
    <t>前保下格栅皮纹</t>
  </si>
  <si>
    <t>造型色彩需求不同意</t>
  </si>
  <si>
    <t>前保下格栅高光黑免喷涂</t>
  </si>
  <si>
    <t>耐刮擦性能差及低温冲击性能差</t>
  </si>
  <si>
    <t>门内饰板总成</t>
  </si>
  <si>
    <t>2025.7.1</t>
  </si>
  <si>
    <t>前后门拉手盒安装支架</t>
  </si>
  <si>
    <t>取消拉手盒安装支架</t>
  </si>
  <si>
    <t>前后门扬声器罩表面PVD</t>
  </si>
  <si>
    <t>下饰板1+2手工包覆</t>
  </si>
  <si>
    <t>下饰板由1+2手工包覆改为硬质皮纹</t>
  </si>
  <si>
    <t>吸音棉400g/m2</t>
  </si>
  <si>
    <t>吸音棉变更为300g/m2</t>
  </si>
  <si>
    <t>前后门把手固定支架</t>
  </si>
  <si>
    <t>取消把手固定支架</t>
  </si>
  <si>
    <t>前后门装饰条亮条真木</t>
  </si>
  <si>
    <t>取消前后门真木装饰条亮条，变更为PVC包覆</t>
  </si>
  <si>
    <t>四门中饰板仿麂皮PVC包覆</t>
  </si>
  <si>
    <t>四门中饰板PVC包覆</t>
  </si>
  <si>
    <t>四门低音扬声器PVC包覆</t>
  </si>
  <si>
    <t>取消四门低音扬声器PVC包覆</t>
  </si>
  <si>
    <t>四门扶手INS饰条</t>
  </si>
  <si>
    <t>取消四门扶手INS饰条</t>
  </si>
  <si>
    <t>前后门电镀装饰条及拉手饰条</t>
  </si>
  <si>
    <t>取消前后门电镀装饰条及拉手饰条</t>
  </si>
  <si>
    <t>四门内饰板带挂钩</t>
  </si>
  <si>
    <t>取消四门饰板挂钩</t>
  </si>
  <si>
    <t>C66TB</t>
  </si>
  <si>
    <t>A00141852</t>
  </si>
  <si>
    <t>2025.7.7</t>
  </si>
  <si>
    <t>前保险杠下部装饰板喷灰漆</t>
  </si>
  <si>
    <t>前保险杠下部装饰板灰色免喷</t>
  </si>
  <si>
    <t>A00141829</t>
  </si>
  <si>
    <t>后保险杠下饰板喷灰漆</t>
  </si>
  <si>
    <t>后保险杠下饰板灰色免喷</t>
  </si>
  <si>
    <t>2025.7.8</t>
  </si>
  <si>
    <t>顶衬尺寸较大，支架强度要求较高</t>
  </si>
  <si>
    <t>取消吸附降解材料或克重降低50%</t>
  </si>
  <si>
    <t>2025.7.14</t>
  </si>
  <si>
    <t>取消B柱风口级风道，二排改用后空调顶棚风口</t>
  </si>
  <si>
    <t>B柱出风口</t>
  </si>
  <si>
    <t>×</t>
  </si>
  <si>
    <t>取消电动手套箱，改为手动手套箱</t>
  </si>
  <si>
    <t>电动手套箱</t>
  </si>
  <si>
    <t>取消左下储物盒</t>
  </si>
  <si>
    <t>左下储物盒，外盖包覆，内部植绒</t>
  </si>
  <si>
    <t>中央扬声器罩金属蚀刻改为与下骨架合并</t>
  </si>
  <si>
    <t>金属扬声器罩</t>
  </si>
  <si>
    <t>副仪表板前延伸板取消吸音棉</t>
  </si>
  <si>
    <t>前延伸板粘贴吸音棉</t>
  </si>
  <si>
    <t>顶棚风口装饰支架减小，取消二排弥散风口</t>
  </si>
  <si>
    <t>二排弥散风口长度1245mm</t>
  </si>
  <si>
    <t>B00051269</t>
  </si>
  <si>
    <t>背门储物盒</t>
  </si>
  <si>
    <t>背门储物盒壳体外壳 ABS</t>
  </si>
  <si>
    <t>背门储物盒壳体 PC+ABS</t>
  </si>
  <si>
    <t>背门储物盒饰盖外壳 ABS</t>
  </si>
  <si>
    <t>背门储物盒饰盖 PC+ABS</t>
  </si>
  <si>
    <t>背门储物盒壳体-内壳  PP+TD20</t>
  </si>
  <si>
    <t xml:space="preserve">背门储物盒壳体-内壳 PP+LGF30 </t>
  </si>
  <si>
    <t>背门储物盒饰盖-内壳 PP+TD20</t>
  </si>
  <si>
    <t xml:space="preserve">背门储物盒饰盖-内壳 PP+LGF30 </t>
  </si>
  <si>
    <t>物品固定板 PP+TD20</t>
  </si>
  <si>
    <t xml:space="preserve">物品固定板 PP+LGF30 </t>
  </si>
  <si>
    <t>背门储物盒壳体外壳 2.5 料厚</t>
  </si>
  <si>
    <t>背门储物盒壳体 3.5料厚</t>
  </si>
  <si>
    <t>背门储物盒饰盖黑色饰板 2.5 料厚</t>
  </si>
  <si>
    <t>背门储物盒饰盖黑色饰板 3.0料厚</t>
  </si>
  <si>
    <t>背门储物盒饰盖 2.5 料厚</t>
  </si>
  <si>
    <t>背门储物盒饰盖 3.0料厚</t>
  </si>
  <si>
    <t>饰盖黑色饰板和饰盖外板合二为一,装饰件遮蔽喷漆</t>
  </si>
  <si>
    <t>背门储物盒饰盖黑色饰板 分件喷漆黑色</t>
  </si>
  <si>
    <t>取消物品固定板</t>
  </si>
  <si>
    <t>物品固定板</t>
  </si>
  <si>
    <t>E00168616</t>
  </si>
  <si>
    <t>通风饰板总成</t>
  </si>
  <si>
    <t>左右侧饰板PP-TD20/TPV双色注塑</t>
  </si>
  <si>
    <t>左右侧饰板PP-TD20单色注塑</t>
  </si>
  <si>
    <t>左右侧挡水块</t>
  </si>
  <si>
    <t>密封泡棉*4</t>
  </si>
  <si>
    <t>取消其中两条</t>
  </si>
  <si>
    <t>侧饰板料厚3.0</t>
  </si>
  <si>
    <t>侧饰板料厚2.5</t>
  </si>
  <si>
    <t>E00176816</t>
  </si>
  <si>
    <t>叶片厚度3.5mm</t>
  </si>
  <si>
    <t>前端EPDM闭孔发泡泡棉
2.594 米 15*15</t>
  </si>
  <si>
    <t>前端EPDM闭孔发泡泡棉
2.594 米 10*5</t>
  </si>
  <si>
    <t>后端EPDM闭孔发泡泡棉
2.554 米 15*15</t>
  </si>
  <si>
    <t>后端EPDM闭孔发泡泡棉
2.554 米 10*5</t>
  </si>
  <si>
    <t>前后端泡棉共计5.11米</t>
  </si>
  <si>
    <t>减少泡棉长度</t>
  </si>
  <si>
    <t>全系标配AGS</t>
  </si>
  <si>
    <t>取消该件</t>
  </si>
  <si>
    <t>B30X-C07</t>
  </si>
  <si>
    <t>A00142777</t>
  </si>
  <si>
    <t>后扰流板总成</t>
  </si>
  <si>
    <t>扰流板上本体改为PC+ABS-MD15</t>
  </si>
  <si>
    <t>扰流板上本体改为PC+ABS</t>
  </si>
  <si>
    <t>扰流板下本体改为PC+ABS</t>
  </si>
  <si>
    <t>扰流板下本体改为ABS</t>
  </si>
  <si>
    <t>A00142774</t>
  </si>
  <si>
    <t>左侧翼子板装饰件</t>
  </si>
  <si>
    <t>PMMA+ASA双料免喷注塑</t>
  </si>
  <si>
    <t>ASA单料免喷注塑</t>
  </si>
  <si>
    <t>A00142773</t>
  </si>
  <si>
    <t>右侧翼子板装饰件</t>
  </si>
  <si>
    <t>翼子板饰板本体3.5料厚</t>
  </si>
  <si>
    <t>翼子板饰板本体3.0料厚</t>
  </si>
  <si>
    <t>E00178573/E00178571</t>
  </si>
  <si>
    <t>左外后视镜总成/右外后视镜总成</t>
  </si>
  <si>
    <t>镜圈ABS注塑加车身漆</t>
  </si>
  <si>
    <t>镜圈ASA皮纹</t>
  </si>
  <si>
    <t>下镜壳ABS注塑加车身漆</t>
  </si>
  <si>
    <t>镜座上盖ABS注塑加车身漆</t>
  </si>
  <si>
    <t>镜座下盖ABS注塑加车身漆</t>
  </si>
  <si>
    <t>E00176755</t>
  </si>
  <si>
    <t>方向盘本体</t>
  </si>
  <si>
    <t>支撑嵌件</t>
  </si>
  <si>
    <t>取消支撑嵌件</t>
  </si>
  <si>
    <t>三个螺钉堵盖</t>
  </si>
  <si>
    <t>取消螺钉堵盖</t>
  </si>
  <si>
    <t>纳帕头层皮</t>
  </si>
  <si>
    <t>超纤包覆</t>
  </si>
  <si>
    <t>E00179712</t>
  </si>
  <si>
    <t>前固定玻璃顶天窗总成</t>
  </si>
  <si>
    <t>2.1灰玻+0.76隔音PVB+2.1灰玻</t>
  </si>
  <si>
    <t>2.1白玻+0.76白PVB+2.1白玻</t>
  </si>
  <si>
    <t>E00179711</t>
  </si>
  <si>
    <t>后固定玻璃顶天窗总成</t>
  </si>
  <si>
    <t>PU包边条</t>
  </si>
  <si>
    <t>EPDM密封条</t>
  </si>
  <si>
    <t>E00179714</t>
  </si>
  <si>
    <t>前后遮阳帘分别用一个电机和控制器</t>
  </si>
  <si>
    <t>前后遮阳帘共用一个电机和控制器</t>
  </si>
  <si>
    <t>E00179713</t>
  </si>
  <si>
    <t>前后遮阳帘导轨黑色阳极氧化</t>
  </si>
  <si>
    <t>前后遮阳帘导轨本色阳极氧化</t>
  </si>
  <si>
    <t>E00174893</t>
  </si>
  <si>
    <t>左外后视镜</t>
  </si>
  <si>
    <t>镜圈ABS注塑加高亮黑喷漆</t>
  </si>
  <si>
    <t>E00174892</t>
  </si>
  <si>
    <t>右外后视镜</t>
  </si>
  <si>
    <t>下镜壳ABS注塑加高亮黑喷漆</t>
  </si>
  <si>
    <t>E00174894</t>
  </si>
  <si>
    <t>镜座上盖ABS注塑加高亮黑喷漆</t>
  </si>
  <si>
    <t>E00174895</t>
  </si>
  <si>
    <t>镜座下盖ABS注塑加高亮黑喷漆</t>
  </si>
  <si>
    <t>E00174897</t>
  </si>
  <si>
    <t>当前方案参考N80KS零件尺寸</t>
  </si>
  <si>
    <t>依据车型优化下级件尺寸重量</t>
  </si>
  <si>
    <t>B60VS-C02</t>
  </si>
  <si>
    <t>座椅面套</t>
  </si>
  <si>
    <t>侧翼位置仿麂皮材料</t>
  </si>
  <si>
    <t>面套采用抗菌除螨PVC</t>
  </si>
  <si>
    <t>取消座椅面套抗菌除螨要求</t>
  </si>
  <si>
    <t>右侧前后排共轨</t>
  </si>
  <si>
    <t>取消长滑轨共轨</t>
  </si>
  <si>
    <t>后排坐垫下方标配储物盒</t>
  </si>
  <si>
    <t>取消后排储物盒</t>
  </si>
  <si>
    <t>E00167575/74/73/72</t>
  </si>
  <si>
    <t>车门装饰系统</t>
  </si>
  <si>
    <t>王强</t>
  </si>
  <si>
    <t>门外下饰板本体高亮黑喷漆</t>
  </si>
  <si>
    <t>门外下饰板总成由高亮黑喷漆改为皮纹</t>
  </si>
  <si>
    <t>门外下饰条电镀</t>
  </si>
  <si>
    <t>取消装饰条电镀，或改为喷漆</t>
  </si>
  <si>
    <t>造型同意饰条改为喷漆方案，不同意取消</t>
  </si>
  <si>
    <t>出风口</t>
  </si>
  <si>
    <t>出风口拨钮饰圈，左右风口面板饰条，后风口面板等零件表面为电镀</t>
  </si>
  <si>
    <t>出风口电镀改为喷漆</t>
  </si>
  <si>
    <t>导风板一体式1.5kg</t>
  </si>
  <si>
    <t>导风板分体式1kg</t>
  </si>
  <si>
    <t>气坝</t>
  </si>
  <si>
    <t>船型气坝</t>
  </si>
  <si>
    <t>板型气坝</t>
  </si>
  <si>
    <t>风阻指标要求，不能替换</t>
  </si>
  <si>
    <t>C66TB-M05</t>
  </si>
  <si>
    <t>E00189958/7</t>
  </si>
  <si>
    <t>边梁系统</t>
  </si>
  <si>
    <t>焊接支架pp+epdm+td20材质</t>
  </si>
  <si>
    <t>焊接支架材质pp+epdm+td20改为pp+td20</t>
  </si>
  <si>
    <t>DRE不同意</t>
  </si>
  <si>
    <t>轮眉表面喷漆</t>
  </si>
  <si>
    <t>表面取消喷漆改为皮纹</t>
  </si>
  <si>
    <t>E00178028/7/6/5</t>
  </si>
  <si>
    <t>车门饰板含电镀饰条</t>
  </si>
  <si>
    <t>取消电镀车门下饰条</t>
  </si>
  <si>
    <t>E00190343/1</t>
  </si>
  <si>
    <t>轮罩装饰系统</t>
  </si>
  <si>
    <t>前轮挡泥板+吸音棉400g/㎡</t>
  </si>
  <si>
    <t>取消前轮挡泥板吸音棉</t>
  </si>
  <si>
    <t>底护板总成</t>
  </si>
  <si>
    <t>底护板长纤PET模压</t>
  </si>
  <si>
    <t>底护板长纤PET材质改为LWRT</t>
  </si>
  <si>
    <t>未通过，长纤PET抗撕裂效果优于LWRT</t>
  </si>
  <si>
    <t>轮罩挡泥板总成</t>
  </si>
  <si>
    <t>NVH要求未通过</t>
  </si>
  <si>
    <t>N82KS</t>
  </si>
  <si>
    <t>2025.11.28</t>
  </si>
  <si>
    <t>副仪表板骨架重量减少</t>
  </si>
  <si>
    <t>副仪表板上下骨架重量2.46kg</t>
  </si>
  <si>
    <t>仪表板拼缝小标取消此零件配置</t>
  </si>
  <si>
    <t>仪表板拼缝小标</t>
  </si>
  <si>
    <t>左B柱上护板风管总成取消此零件配置</t>
  </si>
  <si>
    <t>左B柱上护板风管总成</t>
  </si>
  <si>
    <t>右B柱上护板风管总成取消此零件配置</t>
  </si>
  <si>
    <t>右B柱上护板风管总成</t>
  </si>
  <si>
    <t>左后吹面后段风道总成取消此零件配置</t>
  </si>
  <si>
    <t>左后吹面后段风道总成</t>
  </si>
  <si>
    <t>右后吹面后段风道总成取消此零件配置</t>
  </si>
  <si>
    <t>右后吹面后段风道总成</t>
  </si>
  <si>
    <t>仪表板扬声器装饰盖板取消透音织物包覆</t>
  </si>
  <si>
    <t>仪表板扬声器装饰盖板透音织物包覆</t>
  </si>
  <si>
    <t>等待色彩材质定义更新</t>
  </si>
  <si>
    <t>出风口装饰板取消电镀改成金属喷漆</t>
  </si>
  <si>
    <t>出风口装饰板电镀</t>
  </si>
  <si>
    <t>出风口下装饰板取消仿木纹带触感膜片改成仿木纹激光雕刻注塑+喷漆</t>
  </si>
  <si>
    <t>出风口下装饰板仿木纹带触感膜片</t>
  </si>
  <si>
    <t>仪表板扬声器装饰件取消电镀</t>
  </si>
  <si>
    <t>仪表板扬声器装饰件电镀</t>
  </si>
  <si>
    <t>手套箱总成取消植绒</t>
  </si>
  <si>
    <t>手套箱内斗植绒</t>
  </si>
  <si>
    <t>副仪表板上装饰板和副仪表板上饰板合件</t>
  </si>
  <si>
    <t>副仪表板上装饰板和副仪表板上饰板分件仿木纹带触感膜片INS工艺</t>
  </si>
  <si>
    <t>副仪表板上装饰板取消仿木纹带触感膜片改成仿木纹激光雕刻注塑+喷漆</t>
  </si>
  <si>
    <t>副仪表板上装饰板仿木纹带触感膜片INS工艺</t>
  </si>
  <si>
    <t>门内饰系统</t>
  </si>
  <si>
    <t>四门上饰板、中饰板及扶手PVC包覆厚度为1+3</t>
  </si>
  <si>
    <t>四门上饰板、中饰板及扶手PVC包覆厚度变为1+2</t>
  </si>
  <si>
    <t>门板嵌饰板绗</t>
  </si>
  <si>
    <t>取消门板嵌饰板打孔</t>
  </si>
  <si>
    <t>四门金属扬声器+喷漆</t>
  </si>
  <si>
    <t>取消喷漆</t>
  </si>
  <si>
    <t>未实施，已将饰条变更注塑+喷漆</t>
  </si>
  <si>
    <t>注塑+喷漆</t>
  </si>
  <si>
    <t>高扬网孔随INS饰条一起出，不单独拆件</t>
  </si>
  <si>
    <t>未实施，造型后续评审</t>
  </si>
  <si>
    <t>PVD装饰条</t>
  </si>
  <si>
    <t>取消表面处理PVD，变更为电镀</t>
  </si>
  <si>
    <t>取消PVD装饰条</t>
  </si>
  <si>
    <t>未实施，将PVD饰条变更为电镀</t>
  </si>
  <si>
    <t>门板装饰板：仿木纹带触感膜片</t>
  </si>
  <si>
    <t>取消膜片变更为仿木纹激光雕刻注塑+擦色</t>
  </si>
  <si>
    <t>变更为仿电镀银喷漆</t>
  </si>
  <si>
    <t>全车吸音棉克重为400g/m2</t>
  </si>
  <si>
    <t>调整吸音棉克重为200g/m2</t>
  </si>
  <si>
    <t>NVH后期评审</t>
  </si>
  <si>
    <t>2025.12.05</t>
  </si>
  <si>
    <t>副仪表板骨架后期根据CAE结果，将强度需求不高处料厚减至2.2mm</t>
  </si>
  <si>
    <t>副仪表板骨架料厚2.5mm</t>
  </si>
  <si>
    <t>转向柱调节杆护罩取消TPE护罩</t>
  </si>
  <si>
    <t>转向柱调节杆护罩TPE护罩</t>
  </si>
  <si>
    <t>取消仪表板左下挡板总成</t>
  </si>
  <si>
    <t>布置仪表板左下挡板总成</t>
  </si>
  <si>
    <t>取消仪表板右下挡板总成</t>
  </si>
  <si>
    <t>布置仪表板右下挡板总成</t>
  </si>
  <si>
    <t>仪表板扬声器装饰盖板取消织物包覆</t>
  </si>
  <si>
    <t>仪表板扬声器装饰盖板织物包覆</t>
  </si>
  <si>
    <t>仪表板装饰条取消金属喷漆改成注塑</t>
  </si>
  <si>
    <t>仪表板装饰条金属喷漆</t>
  </si>
  <si>
    <t>HUD护罩取消植绒，改为注塑皮纹</t>
  </si>
  <si>
    <t>HUD护罩表面植绒</t>
  </si>
  <si>
    <t>仪表板上盖板取消包覆改为注塑（远离乘客位置）</t>
  </si>
  <si>
    <t>副仪表板上装饰板饰条取消电镀改成金属喷漆</t>
  </si>
  <si>
    <t>副仪表板上装饰板饰条电镀</t>
  </si>
  <si>
    <t>副仪表板出风口面板总成取消包覆改为皮纹</t>
  </si>
  <si>
    <t>副仪表板出风口面板总成包覆</t>
  </si>
  <si>
    <t>X91KS</t>
  </si>
  <si>
    <t>2025.12.11</t>
  </si>
  <si>
    <t>手套箱内外盖板材质由PC+ABS改为PP-EPDM-T20</t>
  </si>
  <si>
    <t>手套箱内外盖板材质PC+ABS</t>
  </si>
  <si>
    <t>手套箱电动开启</t>
  </si>
  <si>
    <t>前出霜格栅与前除霜盖板两个零件合并</t>
  </si>
  <si>
    <t>前出霜格栅与前除霜盖板两个零件分件设计</t>
  </si>
  <si>
    <t>中央扬声器罩由金属蚀刻喷漆改为注塑</t>
  </si>
  <si>
    <t>中央扬声器罩金属蚀刻喷漆工艺</t>
  </si>
  <si>
    <t>取消中央扬声器罩散射体运动，借用X90KS，取消升降功能。</t>
  </si>
  <si>
    <t>中央扬声器罩散射体可升降</t>
  </si>
  <si>
    <t>扶手取消加热功能</t>
  </si>
  <si>
    <t>扶手有加热功能</t>
  </si>
  <si>
    <t>B50TS</t>
  </si>
  <si>
    <t>安全带系统</t>
  </si>
  <si>
    <t>2025.12.26</t>
  </si>
  <si>
    <t>李永攀</t>
  </si>
  <si>
    <t>安全带预紧限力式</t>
  </si>
  <si>
    <t>安全带仅限力式</t>
  </si>
  <si>
    <t>E00176234</t>
  </si>
  <si>
    <t>2025.12.01</t>
  </si>
  <si>
    <t>下格栅PMMA+ASA高光黑免喷涂</t>
  </si>
  <si>
    <t>下格栅ASA高光黑免喷涂</t>
  </si>
  <si>
    <t>外观效果较差</t>
  </si>
  <si>
    <t>前保电镀条</t>
  </si>
  <si>
    <t>E00176228</t>
  </si>
  <si>
    <t>后保电镀条</t>
  </si>
  <si>
    <t>C37TB-M02</t>
  </si>
  <si>
    <t>E00193244</t>
  </si>
  <si>
    <t>左右饰条枪灰色喷漆</t>
  </si>
  <si>
    <t>左右饰框高亮黑免喷涂</t>
  </si>
  <si>
    <t>后保下本体PP-EPDM-T20高亮黑喷漆</t>
  </si>
  <si>
    <t>改ASA高亮黑免喷涂</t>
  </si>
  <si>
    <t>外观效果差、耐刮擦性能差</t>
  </si>
  <si>
    <t>门板嵌饰板绗缝+打孔</t>
  </si>
  <si>
    <t>支撑要求</t>
  </si>
  <si>
    <t>前后门金属高音扬声器罩材质由金属铝氧化改为不锈钢（表面钝化处理）</t>
  </si>
  <si>
    <t>前后门金属高音扬声器罩材质变为不锈钢（表面钝化处理）</t>
  </si>
  <si>
    <t>防腐要求</t>
  </si>
  <si>
    <t>前后门氛围灯装饰条PVD镀</t>
  </si>
  <si>
    <t>前后门氛围灯装饰条电镀</t>
  </si>
  <si>
    <t>配置要求</t>
  </si>
  <si>
    <t>前饰板PVC硬包覆</t>
  </si>
  <si>
    <t>取消前饰板PVC硬包覆</t>
  </si>
  <si>
    <t>前后门嵌饰板、肘靠饰板下部尖角</t>
  </si>
  <si>
    <t>前后门嵌饰板减小（取消下部尖角部分，提升面料包覆利用率），同步加大肘靠饰板</t>
  </si>
  <si>
    <t>前后门金属高音扬声器罩</t>
  </si>
  <si>
    <t>前后门金属扬声器罩变更为注塑+喷漆</t>
  </si>
  <si>
    <t>肘靠扶手位置氛围灯</t>
  </si>
  <si>
    <t>取消肘靠扶手位置氛围灯</t>
  </si>
  <si>
    <t>B31TS</t>
  </si>
  <si>
    <t>前围内EVA克重6kg/㎡</t>
  </si>
  <si>
    <t>前围内EVA克重降低至4kg/㎡</t>
  </si>
  <si>
    <t>中通道隔音垫</t>
  </si>
  <si>
    <t>取消中通道隔音垫</t>
  </si>
  <si>
    <t>后侧围空腔PUR发泡</t>
  </si>
  <si>
    <t>取消后侧围空腔PUR发泡</t>
  </si>
  <si>
    <t>高配低压注塑面料仿麂皮织物</t>
  </si>
  <si>
    <t>低压注塑面料改为织物</t>
  </si>
  <si>
    <t>配置及造型要求</t>
  </si>
  <si>
    <t>侧围带模压件</t>
  </si>
  <si>
    <t>取消后侧围模压件改为注塑</t>
  </si>
  <si>
    <t>方案要求</t>
  </si>
  <si>
    <t>拉手</t>
  </si>
  <si>
    <t>前排左右2个拉手</t>
  </si>
  <si>
    <t>取消前排驾驶位拉手</t>
  </si>
  <si>
    <t>4个拉手表面喷漆</t>
  </si>
  <si>
    <t>前后门中高音扬声器罩彩色PVD</t>
  </si>
  <si>
    <t>取消前后门中高音扬声器罩表面PVD</t>
  </si>
  <si>
    <t>中饰板美国枫影乱纹</t>
  </si>
  <si>
    <t>取消前后门真木饰条，变更为科技木</t>
  </si>
  <si>
    <t>门饰板本体（翻边+地图袋区域）PVC手工包覆</t>
  </si>
  <si>
    <t>取消包覆，变更为注塑皮纹,参考C71</t>
  </si>
  <si>
    <t>饰条类彩色PVD</t>
  </si>
  <si>
    <t>变更为镀铬</t>
  </si>
  <si>
    <t>上饰板仿麂皮PVC包覆</t>
  </si>
  <si>
    <t>变更为PVC包覆</t>
  </si>
  <si>
    <t>前后门低音扬声器罩PVD</t>
  </si>
  <si>
    <t>取消前后门低音扬声器罩PVD</t>
  </si>
  <si>
    <t>前后门扶手石墨烯加热</t>
  </si>
  <si>
    <t>取消前后门石墨烯加热</t>
  </si>
  <si>
    <t>配置需求</t>
  </si>
  <si>
    <t>NVH性能要求</t>
  </si>
  <si>
    <t>前后门地图袋衬垫</t>
  </si>
  <si>
    <t>取消前后门地图袋衬垫</t>
  </si>
  <si>
    <t>内扣手带阻尼</t>
  </si>
  <si>
    <t>取消内扣手阻尼</t>
  </si>
  <si>
    <t>前后门内扣手底座喷漆</t>
  </si>
  <si>
    <t>取消前后门内扣手底座喷漆</t>
  </si>
  <si>
    <t>灯光法规要求</t>
  </si>
  <si>
    <t>前后门内扣手底座及手柄喷漆</t>
  </si>
  <si>
    <t>取消前后门内扣手底座及手柄喷漆</t>
  </si>
  <si>
    <t>前后门电镀饰条</t>
  </si>
  <si>
    <t>取消前后门电镀饰条</t>
  </si>
  <si>
    <t>上饰板打孔皮包覆</t>
  </si>
  <si>
    <t>取消上饰板打孔皮包覆，变更皮纹注塑</t>
  </si>
  <si>
    <t>上饰板透音织物包覆</t>
  </si>
  <si>
    <t>中饰板双色注塑+软触漆</t>
  </si>
  <si>
    <t>取消中饰板软触漆</t>
  </si>
  <si>
    <t>中饰板皮纹注塑</t>
  </si>
  <si>
    <t>中饰板PVC包覆</t>
  </si>
  <si>
    <t>前后门扶手装饰电镀条</t>
  </si>
  <si>
    <t>取消前后门扶手装饰电镀条</t>
  </si>
  <si>
    <t>缩短加宽前后门扶手装饰电镀条</t>
  </si>
  <si>
    <t>前后门开关面板包覆</t>
  </si>
  <si>
    <t>取消前后门开关面板包覆</t>
  </si>
  <si>
    <t>缩短前后门开关面板包覆</t>
  </si>
  <si>
    <t>上车体外饰系统</t>
  </si>
  <si>
    <t>扰流板内板PC+ABS注塑</t>
  </si>
  <si>
    <t>扰流板内板ABS注塑</t>
  </si>
  <si>
    <t>侧饰板内板厚度2.5mm</t>
  </si>
  <si>
    <t>研发反馈2.5强度不够</t>
  </si>
  <si>
    <t>研发反馈单料高亮免喷光泽度不够</t>
  </si>
  <si>
    <t>中激光雷达盖板滑动螺栓数量14</t>
  </si>
  <si>
    <t>中激光雷达盖板滑动螺栓数量减少到12</t>
  </si>
  <si>
    <t>中级激光雷达盖板本体料厚3.5</t>
  </si>
  <si>
    <t>中级激光雷达盖板本体料厚3.0</t>
  </si>
  <si>
    <t>中级激光雷达盖板胶条+密封泡棉</t>
  </si>
  <si>
    <t>中级激光雷达盖板取消密封泡棉</t>
  </si>
  <si>
    <t>研发不同意</t>
  </si>
  <si>
    <t>参考竞品MPV及越野车型小鼓包式中激光雷达盖板</t>
  </si>
  <si>
    <t>E00168621</t>
  </si>
  <si>
    <t>牌照灯装饰板总成</t>
  </si>
  <si>
    <t>卡扣数量为10个</t>
  </si>
  <si>
    <t>卡扣数量改成6个</t>
  </si>
  <si>
    <t>不满足布置要求</t>
  </si>
  <si>
    <t>PU发泡密度60kg/m³</t>
  </si>
  <si>
    <t>PU发泡密度45kg/m³</t>
  </si>
  <si>
    <t>克重降低会有支撑性差，脚踩软等问题，目前北汽车型最低密度为60</t>
  </si>
  <si>
    <t>吸附降解材料克重150g/㎡</t>
  </si>
  <si>
    <t>强度性能要求</t>
  </si>
  <si>
    <t>针织面料300g/㎡</t>
  </si>
  <si>
    <t>针织面料180g/㎡</t>
  </si>
  <si>
    <t>减薄后表面有溢胶问题、拉伸后表面损伤等问题</t>
  </si>
  <si>
    <t>吸附降解材料克重120g/㎡</t>
  </si>
  <si>
    <t>VOC性能要求</t>
  </si>
  <si>
    <t>后地板隔音垫</t>
  </si>
  <si>
    <t>后地板隔音垫带吸音棉</t>
  </si>
  <si>
    <t>后地板隔音垫取消吸音棉</t>
  </si>
  <si>
    <t>A00141853</t>
  </si>
  <si>
    <t>2025.9.22</t>
  </si>
  <si>
    <t>前保险杠下本喷高亮黑漆</t>
  </si>
  <si>
    <t>前保险杠下本皮纹</t>
  </si>
  <si>
    <t>后保险杠下本喷高亮黑漆</t>
  </si>
  <si>
    <t>后保险杠下本皮纹</t>
  </si>
  <si>
    <t>景中位置为PU</t>
  </si>
  <si>
    <t>座椅面套景中位置变更为PVC</t>
  </si>
  <si>
    <t>配置定义</t>
  </si>
  <si>
    <t>高配带注塑背板</t>
  </si>
  <si>
    <t>取消前排座椅背板</t>
  </si>
  <si>
    <t>B60VS-F03</t>
  </si>
  <si>
    <t>后排独立座椅扶手采用问界M8类似并新开模具</t>
  </si>
  <si>
    <t>后排独立扶手借用X81或X90避免新开模具</t>
  </si>
  <si>
    <t>边梁饰板整体电镀</t>
  </si>
  <si>
    <t>边梁过长，分段降低电镀成本</t>
  </si>
  <si>
    <t>副仪表板</t>
  </si>
  <si>
    <t>王东</t>
  </si>
  <si>
    <t>副仪表板上面板总成包覆</t>
  </si>
  <si>
    <t>造型CMF不同意</t>
  </si>
  <si>
    <t>C37T-M02</t>
  </si>
  <si>
    <t>扶手箱垫改为TPV</t>
  </si>
  <si>
    <t>改毛毡</t>
  </si>
  <si>
    <t>出风口总成</t>
  </si>
  <si>
    <t>后出风口面板包覆</t>
  </si>
  <si>
    <t>改皮纹（参考银河E5）</t>
  </si>
  <si>
    <t>拨钮等电镀改喷漆</t>
  </si>
  <si>
    <t>改喷漆</t>
  </si>
  <si>
    <t>N66QB</t>
  </si>
  <si>
    <t>第三排出风口结构复杂</t>
  </si>
  <si>
    <t>参考B60V、岚图，优化结构</t>
  </si>
  <si>
    <t>零件成本
（含包装、物流、摊销）</t>
  </si>
  <si>
    <t>样件状态</t>
  </si>
  <si>
    <t>模具摊销数量(个）</t>
  </si>
  <si>
    <t>供应商报价</t>
  </si>
  <si>
    <t>设计成本工程部评估成本</t>
  </si>
  <si>
    <r>
      <rPr>
        <b/>
        <sz val="10"/>
        <color theme="1"/>
        <rFont val="微软雅黑"/>
        <charset val="134"/>
      </rPr>
      <t>差异（元）
A</t>
    </r>
    <r>
      <rPr>
        <b/>
        <vertAlign val="subscript"/>
        <sz val="10"/>
        <color theme="1"/>
        <rFont val="微软雅黑"/>
        <charset val="134"/>
      </rPr>
      <t>2</t>
    </r>
    <r>
      <rPr>
        <b/>
        <sz val="10"/>
        <color theme="1"/>
        <rFont val="微软雅黑"/>
        <charset val="134"/>
      </rPr>
      <t>=A</t>
    </r>
    <r>
      <rPr>
        <b/>
        <vertAlign val="subscript"/>
        <sz val="10"/>
        <color theme="1"/>
        <rFont val="微软雅黑"/>
        <charset val="134"/>
      </rPr>
      <t>1</t>
    </r>
    <r>
      <rPr>
        <b/>
        <sz val="10"/>
        <color theme="1"/>
        <rFont val="微软雅黑"/>
        <charset val="134"/>
      </rPr>
      <t>-A</t>
    </r>
    <r>
      <rPr>
        <b/>
        <vertAlign val="subscript"/>
        <sz val="10"/>
        <color theme="1"/>
        <rFont val="微软雅黑"/>
        <charset val="134"/>
      </rPr>
      <t>1</t>
    </r>
    <r>
      <rPr>
        <b/>
        <sz val="10"/>
        <color theme="1"/>
        <rFont val="微软雅黑"/>
        <charset val="134"/>
      </rPr>
      <t>'</t>
    </r>
  </si>
  <si>
    <t>样件目标与
零件成本比率</t>
  </si>
  <si>
    <t>定点供应商</t>
  </si>
  <si>
    <t>评估工程师</t>
  </si>
  <si>
    <t>备注</t>
  </si>
  <si>
    <t>样件套数</t>
  </si>
  <si>
    <t>区分</t>
  </si>
  <si>
    <r>
      <rPr>
        <b/>
        <sz val="10"/>
        <color theme="1"/>
        <rFont val="微软雅黑"/>
        <charset val="134"/>
      </rPr>
      <t>合计（元）
A</t>
    </r>
    <r>
      <rPr>
        <b/>
        <vertAlign val="subscript"/>
        <sz val="10"/>
        <color theme="1"/>
        <rFont val="微软雅黑"/>
        <charset val="134"/>
      </rPr>
      <t>1</t>
    </r>
    <r>
      <rPr>
        <b/>
        <sz val="10"/>
        <color theme="1"/>
        <rFont val="微软雅黑"/>
        <charset val="134"/>
      </rPr>
      <t>=B</t>
    </r>
    <r>
      <rPr>
        <b/>
        <vertAlign val="subscript"/>
        <sz val="10"/>
        <color theme="1"/>
        <rFont val="微软雅黑"/>
        <charset val="134"/>
      </rPr>
      <t>1</t>
    </r>
    <r>
      <rPr>
        <b/>
        <sz val="10"/>
        <color theme="1"/>
        <rFont val="微软雅黑"/>
        <charset val="134"/>
      </rPr>
      <t>+B</t>
    </r>
    <r>
      <rPr>
        <b/>
        <vertAlign val="subscript"/>
        <sz val="10"/>
        <color theme="1"/>
        <rFont val="微软雅黑"/>
        <charset val="134"/>
      </rPr>
      <t>2</t>
    </r>
  </si>
  <si>
    <t>模具单价
（元）</t>
  </si>
  <si>
    <r>
      <rPr>
        <b/>
        <sz val="10"/>
        <color theme="1"/>
        <rFont val="微软雅黑"/>
        <charset val="134"/>
      </rPr>
      <t>模具摊销费（元）
B</t>
    </r>
    <r>
      <rPr>
        <b/>
        <vertAlign val="subscript"/>
        <sz val="10"/>
        <color theme="1"/>
        <rFont val="微软雅黑"/>
        <charset val="134"/>
      </rPr>
      <t>1</t>
    </r>
  </si>
  <si>
    <r>
      <rPr>
        <b/>
        <sz val="10"/>
        <color theme="1"/>
        <rFont val="微软雅黑"/>
        <charset val="134"/>
      </rPr>
      <t>样件单价（元）
B</t>
    </r>
    <r>
      <rPr>
        <b/>
        <vertAlign val="subscript"/>
        <sz val="10"/>
        <color theme="1"/>
        <rFont val="微软雅黑"/>
        <charset val="134"/>
      </rPr>
      <t>2</t>
    </r>
  </si>
  <si>
    <r>
      <rPr>
        <b/>
        <sz val="10"/>
        <color theme="1"/>
        <rFont val="微软雅黑"/>
        <charset val="134"/>
      </rPr>
      <t>合计（元）
A'</t>
    </r>
    <r>
      <rPr>
        <b/>
        <vertAlign val="subscript"/>
        <sz val="10"/>
        <color theme="1"/>
        <rFont val="微软雅黑"/>
        <charset val="134"/>
      </rPr>
      <t>1</t>
    </r>
    <r>
      <rPr>
        <b/>
        <sz val="10"/>
        <color theme="1"/>
        <rFont val="微软雅黑"/>
        <charset val="134"/>
      </rPr>
      <t>=B</t>
    </r>
    <r>
      <rPr>
        <b/>
        <vertAlign val="subscript"/>
        <sz val="10"/>
        <color theme="1"/>
        <rFont val="微软雅黑"/>
        <charset val="134"/>
      </rPr>
      <t>1</t>
    </r>
    <r>
      <rPr>
        <b/>
        <sz val="10"/>
        <color theme="1"/>
        <rFont val="微软雅黑"/>
        <charset val="134"/>
      </rPr>
      <t>'+B</t>
    </r>
    <r>
      <rPr>
        <b/>
        <vertAlign val="subscript"/>
        <sz val="10"/>
        <color theme="1"/>
        <rFont val="微软雅黑"/>
        <charset val="134"/>
      </rPr>
      <t>2</t>
    </r>
    <r>
      <rPr>
        <b/>
        <sz val="10"/>
        <color theme="1"/>
        <rFont val="微软雅黑"/>
        <charset val="134"/>
      </rPr>
      <t>'</t>
    </r>
  </si>
  <si>
    <r>
      <rPr>
        <b/>
        <sz val="10"/>
        <color theme="1"/>
        <rFont val="微软雅黑"/>
        <charset val="134"/>
      </rPr>
      <t>模具摊销费（元）
B</t>
    </r>
    <r>
      <rPr>
        <b/>
        <vertAlign val="subscript"/>
        <sz val="10"/>
        <color theme="1"/>
        <rFont val="微软雅黑"/>
        <charset val="134"/>
      </rPr>
      <t>1</t>
    </r>
    <r>
      <rPr>
        <b/>
        <sz val="10"/>
        <color theme="1"/>
        <rFont val="微软雅黑"/>
        <charset val="134"/>
      </rPr>
      <t>'</t>
    </r>
  </si>
  <si>
    <r>
      <rPr>
        <b/>
        <sz val="10"/>
        <color theme="1"/>
        <rFont val="微软雅黑"/>
        <charset val="134"/>
      </rPr>
      <t>样件单价（元）
B</t>
    </r>
    <r>
      <rPr>
        <b/>
        <vertAlign val="subscript"/>
        <sz val="10"/>
        <color theme="1"/>
        <rFont val="微软雅黑"/>
        <charset val="134"/>
      </rPr>
      <t>2</t>
    </r>
    <r>
      <rPr>
        <b/>
        <sz val="10"/>
        <color theme="1"/>
        <rFont val="微软雅黑"/>
        <charset val="134"/>
      </rPr>
      <t>'</t>
    </r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</si>
  <si>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72KS</t>
    </r>
  </si>
  <si>
    <t>E00157041</t>
  </si>
  <si>
    <t>后风挡玻璃总成</t>
  </si>
  <si>
    <t>零件定价</t>
  </si>
  <si>
    <t>软膜样件+3D打印</t>
  </si>
  <si>
    <t>天津泓德</t>
  </si>
  <si>
    <t>延续</t>
  </si>
  <si>
    <t>E00154467</t>
  </si>
  <si>
    <t>左角窗玻璃总成</t>
  </si>
  <si>
    <t>E00154466</t>
  </si>
  <si>
    <t>右角窗玻璃总成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</si>
  <si>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80KS</t>
    </r>
  </si>
  <si>
    <t>E00155048</t>
  </si>
  <si>
    <t>前风挡玻璃总成</t>
  </si>
  <si>
    <t>零件目标</t>
  </si>
  <si>
    <t>江苏铁锚</t>
  </si>
  <si>
    <t>E00155046</t>
  </si>
  <si>
    <t>软膜样件</t>
  </si>
  <si>
    <t>E00155043</t>
  </si>
  <si>
    <t>左后角窗玻璃总成</t>
  </si>
  <si>
    <t>E00155042</t>
  </si>
  <si>
    <t>右后角窗玻璃总成</t>
  </si>
  <si>
    <t>E00156452</t>
  </si>
  <si>
    <t>左前三角窗玻璃总成</t>
  </si>
  <si>
    <t>E00156451</t>
  </si>
  <si>
    <t>右前三角窗玻璃总成</t>
  </si>
  <si>
    <t>E00154398</t>
  </si>
  <si>
    <t>EP1样件</t>
  </si>
  <si>
    <t>英纳法</t>
  </si>
  <si>
    <t>E00161253</t>
  </si>
  <si>
    <t>E00156416</t>
  </si>
  <si>
    <t>硅胶模样件</t>
  </si>
  <si>
    <t>宁波华德</t>
  </si>
  <si>
    <t>E00155027</t>
  </si>
  <si>
    <t>仪表板横梁总成</t>
  </si>
  <si>
    <t>软膜件</t>
  </si>
  <si>
    <t>马鞍山萱和</t>
  </si>
  <si>
    <t>E00155026</t>
  </si>
  <si>
    <t>左下连接支架总成</t>
  </si>
  <si>
    <t>E00155025</t>
  </si>
  <si>
    <t>右下连接支架总成</t>
  </si>
  <si>
    <t>软模件</t>
  </si>
  <si>
    <t>吉祥</t>
  </si>
  <si>
    <t>投影仪护罩壳体</t>
  </si>
  <si>
    <t>模具件</t>
  </si>
  <si>
    <t>延锋</t>
  </si>
  <si>
    <t>A00130600</t>
  </si>
  <si>
    <t>左前座椅总成</t>
  </si>
  <si>
    <t>工装件</t>
  </si>
  <si>
    <t>佛吉亚</t>
  </si>
  <si>
    <t>A00130648</t>
  </si>
  <si>
    <t>右前座椅总成</t>
  </si>
  <si>
    <t>A00130651</t>
  </si>
  <si>
    <t>二排座椅靠背总成</t>
  </si>
  <si>
    <t>A00130656</t>
  </si>
  <si>
    <t>后排坐垫总成</t>
  </si>
  <si>
    <t>A00133903</t>
  </si>
  <si>
    <t>A00133905</t>
  </si>
  <si>
    <t>A00130652</t>
  </si>
  <si>
    <t>左后排靠背总成</t>
  </si>
  <si>
    <t>A00130654</t>
  </si>
  <si>
    <t>右后排靠背总成</t>
  </si>
  <si>
    <t>A00130657</t>
  </si>
  <si>
    <t>A00130659</t>
  </si>
  <si>
    <t>后排靠背安装支架</t>
  </si>
  <si>
    <t>前围外隔音垫</t>
  </si>
  <si>
    <t>标准样件</t>
  </si>
  <si>
    <t>溧阳山湖</t>
  </si>
  <si>
    <t>A00142499、A00142500、A00142501</t>
  </si>
  <si>
    <t>北汽模塑</t>
  </si>
  <si>
    <t>A00142483</t>
  </si>
  <si>
    <t>前保险杠上支架总成</t>
  </si>
  <si>
    <t>E00139544</t>
  </si>
  <si>
    <t>EP1</t>
  </si>
  <si>
    <t>E00151096</t>
  </si>
  <si>
    <t>前吸能块</t>
  </si>
  <si>
    <t>E00160316</t>
  </si>
  <si>
    <t>前保吸能块</t>
  </si>
  <si>
    <r>
      <rPr>
        <sz val="11"/>
        <color theme="1"/>
        <rFont val="等线"/>
        <charset val="134"/>
        <scheme val="minor"/>
      </rPr>
      <t>EP</t>
    </r>
    <r>
      <rPr>
        <sz val="11"/>
        <color theme="1"/>
        <rFont val="等线"/>
        <charset val="134"/>
        <scheme val="minor"/>
      </rPr>
      <t>2</t>
    </r>
  </si>
  <si>
    <t>E00160317</t>
  </si>
  <si>
    <t>前保险杠右安装支架</t>
  </si>
  <si>
    <t>E00160318</t>
  </si>
  <si>
    <t>前保险杠左安装支架</t>
  </si>
  <si>
    <t>E00162853</t>
  </si>
  <si>
    <t>E00173537</t>
  </si>
  <si>
    <t>前保险杠支架</t>
  </si>
  <si>
    <t>湖大艾盛</t>
  </si>
  <si>
    <t>E00167174-B01</t>
  </si>
  <si>
    <t>浙江博弈</t>
  </si>
  <si>
    <t>E00139545</t>
  </si>
  <si>
    <t>前保险杠总成_行政黑</t>
  </si>
  <si>
    <t>EP2</t>
  </si>
  <si>
    <t>E00139546</t>
  </si>
  <si>
    <t>前保侧安装支架总成-左</t>
  </si>
  <si>
    <t>E00139547</t>
  </si>
  <si>
    <t>前保侧安装支架总成-右</t>
  </si>
  <si>
    <t>E00139552</t>
  </si>
  <si>
    <t>E00139553</t>
  </si>
  <si>
    <t>E00139556</t>
  </si>
  <si>
    <t>后保侧安装支架总成-左</t>
  </si>
  <si>
    <t>E00139558</t>
  </si>
  <si>
    <t>后保侧安装支架总成-右</t>
  </si>
  <si>
    <t>E00139559</t>
  </si>
  <si>
    <t>左尾灯下支架总成</t>
  </si>
  <si>
    <t>E00139560</t>
  </si>
  <si>
    <t>右尾灯下支架总成</t>
  </si>
  <si>
    <t>E00145128</t>
  </si>
  <si>
    <t>前保险杠本体安装支架总成</t>
  </si>
  <si>
    <t>E00145135</t>
  </si>
  <si>
    <t>前保上装饰板总成_行政黑</t>
  </si>
  <si>
    <t>E00151093</t>
  </si>
  <si>
    <t>E00139586</t>
  </si>
  <si>
    <t>左边梁饰板总成</t>
  </si>
  <si>
    <t>E00139587</t>
  </si>
  <si>
    <t>右边梁饰板总成</t>
  </si>
  <si>
    <t>A00132815</t>
  </si>
  <si>
    <t>A00132816</t>
  </si>
  <si>
    <t>A00132817</t>
  </si>
  <si>
    <t>A00132818</t>
  </si>
  <si>
    <t>A00132819</t>
  </si>
  <si>
    <t>A00132820</t>
  </si>
  <si>
    <t>A00132821</t>
  </si>
  <si>
    <t>A00132822</t>
  </si>
  <si>
    <t>A00132848</t>
  </si>
  <si>
    <t>A00132848-D01</t>
  </si>
  <si>
    <t>A00132850</t>
  </si>
  <si>
    <t>二排座椅座垫总成</t>
  </si>
  <si>
    <t>A00133478</t>
  </si>
  <si>
    <t>左后座椅靠背总成</t>
  </si>
  <si>
    <t>A00133480</t>
  </si>
  <si>
    <t>右后座椅靠背总成</t>
  </si>
  <si>
    <t>A00134161</t>
  </si>
  <si>
    <t>A00134163</t>
  </si>
  <si>
    <t>A00135477</t>
  </si>
  <si>
    <t>后排座椅靠背中部支架</t>
  </si>
  <si>
    <t>B41VS赤兔</t>
  </si>
  <si>
    <t>B00051232-B01</t>
  </si>
  <si>
    <t>中央保险杠安装支架总成</t>
  </si>
  <si>
    <t>北汽泰普</t>
  </si>
  <si>
    <t>B00051233-B01</t>
  </si>
  <si>
    <t>右侧保险杠安装支架总成</t>
  </si>
  <si>
    <t>B00051234-B01</t>
  </si>
  <si>
    <t>左侧保险杠安装支架总成</t>
  </si>
  <si>
    <t>B00051235-B01</t>
  </si>
  <si>
    <t>B00051236-B01</t>
  </si>
  <si>
    <t>前保险杠右下护板</t>
  </si>
  <si>
    <t>B00051237-B01</t>
  </si>
  <si>
    <t>前保险杠左下护板</t>
  </si>
  <si>
    <t>B00051239-B01</t>
  </si>
  <si>
    <t>前保险杠左饰盖</t>
  </si>
  <si>
    <t>B00051241-B01</t>
  </si>
  <si>
    <t>前保险杠左侧安装支架总成</t>
  </si>
  <si>
    <t>B00051613-B01</t>
  </si>
  <si>
    <t>前保险杠右侧安装支架总成</t>
  </si>
  <si>
    <t>B00051619-B01</t>
  </si>
  <si>
    <t>B00051223-B01</t>
  </si>
  <si>
    <t>右后门外装饰板总成</t>
  </si>
  <si>
    <t>B00051224-B01</t>
  </si>
  <si>
    <t>左后门外装饰板总成</t>
  </si>
  <si>
    <t>B00051225-B01</t>
  </si>
  <si>
    <t>右后轮罩外接板总成</t>
  </si>
  <si>
    <t>B00051226-B01</t>
  </si>
  <si>
    <t>左后轮罩外接板总成</t>
  </si>
  <si>
    <t>B00051227-B01</t>
  </si>
  <si>
    <t>右前轮罩外接板总成</t>
  </si>
  <si>
    <t>B00051228-B01</t>
  </si>
  <si>
    <t>左前轮罩外接板总成</t>
  </si>
  <si>
    <t>B00051274-B01</t>
  </si>
  <si>
    <t>发动机前下护板</t>
  </si>
  <si>
    <t>B00051281-B01</t>
  </si>
  <si>
    <t>右前轮罩防溅板下安装支架总成</t>
  </si>
  <si>
    <t>B00051282-B01</t>
  </si>
  <si>
    <t>左前轮罩防溅板下安装支架总成</t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</si>
  <si>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66TB-M05</t>
    </r>
  </si>
  <si>
    <t>A00141836</t>
  </si>
  <si>
    <t>前保险杠安装板总成</t>
  </si>
  <si>
    <t>A00145672</t>
  </si>
  <si>
    <t>左前保险杠侧安装支架总成</t>
  </si>
  <si>
    <t>A00145671</t>
  </si>
  <si>
    <t>右前保险杠侧安装支架总成</t>
  </si>
  <si>
    <t>A00141830</t>
  </si>
  <si>
    <t>A00143336</t>
  </si>
  <si>
    <t>左后保侧安装支架总成</t>
  </si>
  <si>
    <t>A00143335</t>
  </si>
  <si>
    <t>右后保侧安装支架总成</t>
  </si>
  <si>
    <t>A00141814</t>
  </si>
  <si>
    <t xml:space="preserve">A00141813 </t>
  </si>
  <si>
    <t>常州佳乐</t>
  </si>
  <si>
    <t>E00179428</t>
  </si>
  <si>
    <t>E00182776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</si>
</sst>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[$-41D]d\ mmmm\ /yy;@"/>
    <numFmt numFmtId="178" formatCode="0.00_ "/>
    <numFmt numFmtId="179" formatCode="0_);[Red]\(0\)"/>
    <numFmt numFmtId="180" formatCode="0.00_);[Red]\(0.00\)"/>
    <numFmt numFmtId="181" formatCode="0.0"/>
    <numFmt numFmtId="182" formatCode="#,##0_ "/>
    <numFmt numFmtId="183" formatCode="_ * #,##0_ ;_ * \-#,##0_ ;_ * &quot;-&quot;??_ ;_ @_ "/>
  </numFmts>
  <fonts count="48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b/>
      <sz val="10"/>
      <color rgb="FFFF0000"/>
      <name val="微软雅黑"/>
      <charset val="134"/>
    </font>
    <font>
      <b/>
      <sz val="12"/>
      <name val="微软雅黑"/>
      <charset val="134"/>
    </font>
    <font>
      <b/>
      <sz val="12"/>
      <color rgb="FFFF0000"/>
      <name val="微软雅黑"/>
      <charset val="134"/>
    </font>
    <font>
      <sz val="9"/>
      <name val="微软雅黑"/>
      <charset val="134"/>
    </font>
    <font>
      <b/>
      <sz val="9"/>
      <color theme="1" tint="0.249977111117893"/>
      <name val="微软雅黑"/>
      <charset val="134"/>
    </font>
    <font>
      <sz val="11"/>
      <color theme="0" tint="-0.499984740745262"/>
      <name val="微软雅黑"/>
      <charset val="134"/>
    </font>
    <font>
      <sz val="12"/>
      <color rgb="FF000000"/>
      <name val="微软雅黑"/>
      <charset val="134"/>
    </font>
    <font>
      <sz val="10"/>
      <color theme="1" tint="0.499984740745262"/>
      <name val="微软雅黑"/>
      <charset val="134"/>
    </font>
    <font>
      <sz val="11"/>
      <color theme="1"/>
      <name val="微软雅黑"/>
      <charset val="134"/>
    </font>
    <font>
      <sz val="10"/>
      <color theme="1" tint="0.249977111117893"/>
      <name val="微软雅黑"/>
      <charset val="134"/>
    </font>
    <font>
      <sz val="16"/>
      <name val="微软雅黑"/>
      <charset val="134"/>
    </font>
    <font>
      <b/>
      <sz val="10"/>
      <name val="微软雅黑"/>
      <charset val="134"/>
    </font>
    <font>
      <b/>
      <sz val="16"/>
      <name val="微软雅黑"/>
      <charset val="134"/>
    </font>
    <font>
      <sz val="12"/>
      <name val="微软雅黑"/>
      <charset val="134"/>
    </font>
    <font>
      <sz val="11"/>
      <color theme="1"/>
      <name val="DengXian"/>
      <charset val="134"/>
    </font>
    <font>
      <b/>
      <sz val="1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sz val="11"/>
      <color indexed="8"/>
      <name val="宋体"/>
      <charset val="134"/>
    </font>
    <font>
      <b/>
      <vertAlign val="subscript"/>
      <sz val="10"/>
      <color theme="1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5" borderId="2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30" fillId="0" borderId="2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6" borderId="28" applyNumberFormat="0" applyAlignment="0" applyProtection="0">
      <alignment vertical="center"/>
    </xf>
    <xf numFmtId="0" fontId="32" fillId="17" borderId="29" applyNumberFormat="0" applyAlignment="0" applyProtection="0">
      <alignment vertical="center"/>
    </xf>
    <xf numFmtId="0" fontId="33" fillId="17" borderId="28" applyNumberFormat="0" applyAlignment="0" applyProtection="0">
      <alignment vertical="center"/>
    </xf>
    <xf numFmtId="0" fontId="34" fillId="18" borderId="30" applyNumberFormat="0" applyAlignment="0" applyProtection="0">
      <alignment vertical="center"/>
    </xf>
    <xf numFmtId="0" fontId="35" fillId="0" borderId="31" applyNumberFormat="0" applyFill="0" applyAlignment="0" applyProtection="0">
      <alignment vertical="center"/>
    </xf>
    <xf numFmtId="0" fontId="36" fillId="0" borderId="32" applyNumberFormat="0" applyFill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7" fontId="42" fillId="0" borderId="0">
      <alignment vertical="top"/>
    </xf>
    <xf numFmtId="176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8" fontId="0" fillId="0" borderId="0">
      <alignment vertical="center"/>
    </xf>
    <xf numFmtId="176" fontId="0" fillId="0" borderId="0">
      <alignment vertical="center"/>
    </xf>
    <xf numFmtId="0" fontId="4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44" fillId="0" borderId="0">
      <alignment vertical="center"/>
    </xf>
  </cellStyleXfs>
  <cellXfs count="225">
    <xf numFmtId="0" fontId="0" fillId="0" borderId="0" xfId="0">
      <alignment vertical="center"/>
    </xf>
    <xf numFmtId="0" fontId="1" fillId="0" borderId="0" xfId="52" applyFont="1" applyAlignment="1">
      <alignment horizontal="center"/>
    </xf>
    <xf numFmtId="0" fontId="2" fillId="2" borderId="0" xfId="54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3" borderId="1" xfId="54" applyFont="1" applyFill="1" applyBorder="1" applyAlignment="1">
      <alignment horizontal="center" vertical="center"/>
    </xf>
    <xf numFmtId="0" fontId="3" fillId="3" borderId="2" xfId="54" applyFont="1" applyFill="1" applyBorder="1" applyAlignment="1">
      <alignment horizontal="center" vertical="center"/>
    </xf>
    <xf numFmtId="0" fontId="3" fillId="3" borderId="2" xfId="54" applyFont="1" applyFill="1" applyBorder="1" applyAlignment="1">
      <alignment horizontal="center" vertical="center" wrapText="1"/>
    </xf>
    <xf numFmtId="43" fontId="3" fillId="3" borderId="2" xfId="1" applyFont="1" applyFill="1" applyBorder="1" applyAlignment="1">
      <alignment horizontal="center" vertical="center" wrapText="1"/>
    </xf>
    <xf numFmtId="0" fontId="4" fillId="3" borderId="3" xfId="54" applyFont="1" applyFill="1" applyBorder="1" applyAlignment="1">
      <alignment horizontal="center" vertical="center" wrapText="1"/>
    </xf>
    <xf numFmtId="0" fontId="3" fillId="3" borderId="4" xfId="54" applyFont="1" applyFill="1" applyBorder="1" applyAlignment="1">
      <alignment horizontal="center" vertical="center"/>
    </xf>
    <xf numFmtId="0" fontId="3" fillId="3" borderId="5" xfId="54" applyFont="1" applyFill="1" applyBorder="1" applyAlignment="1">
      <alignment horizontal="center" vertical="center"/>
    </xf>
    <xf numFmtId="0" fontId="3" fillId="3" borderId="5" xfId="54" applyFont="1" applyFill="1" applyBorder="1" applyAlignment="1">
      <alignment horizontal="center" vertical="center" wrapText="1"/>
    </xf>
    <xf numFmtId="43" fontId="3" fillId="3" borderId="5" xfId="1" applyFont="1" applyFill="1" applyBorder="1" applyAlignment="1">
      <alignment horizontal="center" vertical="center" wrapText="1"/>
    </xf>
    <xf numFmtId="178" fontId="3" fillId="3" borderId="5" xfId="54" applyNumberFormat="1" applyFont="1" applyFill="1" applyBorder="1" applyAlignment="1">
      <alignment horizontal="center" vertical="center" wrapText="1"/>
    </xf>
    <xf numFmtId="0" fontId="4" fillId="3" borderId="6" xfId="54" applyFont="1" applyFill="1" applyBorder="1" applyAlignment="1">
      <alignment horizontal="center" vertical="center" wrapText="1"/>
    </xf>
    <xf numFmtId="0" fontId="2" fillId="2" borderId="4" xfId="54" applyFont="1" applyFill="1" applyBorder="1" applyAlignment="1">
      <alignment horizontal="center" vertical="center"/>
    </xf>
    <xf numFmtId="0" fontId="2" fillId="2" borderId="5" xfId="54" applyFont="1" applyFill="1" applyBorder="1" applyAlignment="1">
      <alignment horizontal="center" vertical="center"/>
    </xf>
    <xf numFmtId="2" fontId="5" fillId="0" borderId="5" xfId="63" applyNumberFormat="1" applyFont="1" applyBorder="1" applyAlignment="1">
      <alignment horizontal="center" vertical="center" wrapText="1"/>
    </xf>
    <xf numFmtId="0" fontId="6" fillId="2" borderId="5" xfId="60" applyNumberFormat="1" applyFont="1" applyFill="1" applyBorder="1" applyAlignment="1">
      <alignment horizontal="center" vertical="center" wrapText="1"/>
    </xf>
    <xf numFmtId="43" fontId="2" fillId="4" borderId="5" xfId="54" applyNumberFormat="1" applyFont="1" applyFill="1" applyBorder="1" applyAlignment="1">
      <alignment horizontal="center" vertical="center"/>
    </xf>
    <xf numFmtId="43" fontId="2" fillId="2" borderId="5" xfId="54" applyNumberFormat="1" applyFont="1" applyFill="1" applyBorder="1" applyAlignment="1">
      <alignment horizontal="center" vertical="center"/>
    </xf>
    <xf numFmtId="10" fontId="2" fillId="2" borderId="5" xfId="54" applyNumberFormat="1" applyFont="1" applyFill="1" applyBorder="1" applyAlignment="1">
      <alignment horizontal="center" vertical="center"/>
    </xf>
    <xf numFmtId="14" fontId="2" fillId="2" borderId="5" xfId="54" applyNumberFormat="1" applyFont="1" applyFill="1" applyBorder="1" applyAlignment="1">
      <alignment horizontal="center" vertical="center"/>
    </xf>
    <xf numFmtId="0" fontId="2" fillId="2" borderId="6" xfId="54" applyFont="1" applyFill="1" applyBorder="1" applyAlignment="1">
      <alignment horizontal="center" vertical="center"/>
    </xf>
    <xf numFmtId="176" fontId="0" fillId="0" borderId="5" xfId="57" applyFont="1" applyBorder="1" applyAlignment="1">
      <alignment horizontal="center" vertical="center"/>
    </xf>
    <xf numFmtId="176" fontId="0" fillId="0" borderId="5" xfId="57" applyBorder="1" applyAlignment="1">
      <alignment horizontal="center" vertical="center"/>
    </xf>
    <xf numFmtId="43" fontId="1" fillId="4" borderId="5" xfId="57" applyNumberFormat="1" applyFont="1" applyFill="1" applyBorder="1" applyAlignment="1">
      <alignment horizontal="center" vertical="center"/>
    </xf>
    <xf numFmtId="176" fontId="2" fillId="0" borderId="5" xfId="57" applyFont="1" applyBorder="1" applyAlignment="1">
      <alignment horizontal="center" vertical="center"/>
    </xf>
    <xf numFmtId="0" fontId="2" fillId="0" borderId="5" xfId="57" applyNumberFormat="1" applyFont="1" applyBorder="1" applyAlignment="1">
      <alignment horizontal="center" vertical="center"/>
    </xf>
    <xf numFmtId="43" fontId="0" fillId="4" borderId="5" xfId="1" applyFill="1" applyBorder="1" applyAlignment="1">
      <alignment horizontal="center" vertical="center"/>
    </xf>
    <xf numFmtId="43" fontId="0" fillId="0" borderId="5" xfId="57" applyNumberFormat="1" applyBorder="1" applyAlignment="1">
      <alignment horizontal="center" vertical="center"/>
    </xf>
    <xf numFmtId="43" fontId="0" fillId="4" borderId="5" xfId="57" applyNumberFormat="1" applyFill="1" applyBorder="1" applyAlignment="1">
      <alignment horizontal="center" vertical="center"/>
    </xf>
    <xf numFmtId="10" fontId="0" fillId="4" borderId="5" xfId="57" applyNumberFormat="1" applyFill="1" applyBorder="1" applyAlignment="1">
      <alignment horizontal="center" vertical="center"/>
    </xf>
    <xf numFmtId="0" fontId="0" fillId="0" borderId="5" xfId="57" applyNumberFormat="1" applyFont="1" applyBorder="1" applyAlignment="1">
      <alignment horizontal="center" vertical="center"/>
    </xf>
    <xf numFmtId="0" fontId="0" fillId="0" borderId="5" xfId="57" applyNumberFormat="1" applyBorder="1" applyAlignment="1">
      <alignment horizontal="center" vertical="center"/>
    </xf>
    <xf numFmtId="176" fontId="2" fillId="0" borderId="5" xfId="53" applyFont="1" applyBorder="1" applyAlignment="1">
      <alignment horizontal="center" vertical="center"/>
    </xf>
    <xf numFmtId="0" fontId="0" fillId="0" borderId="5" xfId="53" applyNumberFormat="1" applyFont="1" applyBorder="1" applyAlignment="1">
      <alignment horizontal="center" vertical="center"/>
    </xf>
    <xf numFmtId="0" fontId="0" fillId="0" borderId="5" xfId="53" applyNumberFormat="1" applyFont="1" applyBorder="1" applyAlignment="1">
      <alignment horizontal="center" vertical="center" wrapText="1"/>
    </xf>
    <xf numFmtId="43" fontId="1" fillId="4" borderId="5" xfId="53" applyNumberFormat="1" applyFont="1" applyFill="1" applyBorder="1" applyAlignment="1">
      <alignment horizontal="center" vertical="center"/>
    </xf>
    <xf numFmtId="0" fontId="2" fillId="0" borderId="5" xfId="53" applyNumberFormat="1" applyFont="1" applyBorder="1" applyAlignment="1">
      <alignment horizontal="center" vertical="center"/>
    </xf>
    <xf numFmtId="179" fontId="0" fillId="0" borderId="5" xfId="57" applyNumberFormat="1" applyBorder="1" applyAlignment="1">
      <alignment horizontal="center" vertical="center"/>
    </xf>
    <xf numFmtId="43" fontId="2" fillId="4" borderId="5" xfId="53" applyNumberFormat="1" applyFont="1" applyFill="1" applyBorder="1" applyAlignment="1">
      <alignment horizontal="center" vertical="center"/>
    </xf>
    <xf numFmtId="180" fontId="2" fillId="0" borderId="5" xfId="53" applyNumberFormat="1" applyFont="1" applyBorder="1" applyAlignment="1">
      <alignment horizontal="center" vertical="center"/>
    </xf>
    <xf numFmtId="43" fontId="2" fillId="4" borderId="5" xfId="1" applyFont="1" applyFill="1" applyBorder="1" applyAlignment="1">
      <alignment horizontal="center" vertical="center"/>
    </xf>
    <xf numFmtId="43" fontId="2" fillId="0" borderId="5" xfId="53" applyNumberFormat="1" applyFont="1" applyBorder="1" applyAlignment="1">
      <alignment horizontal="center" vertical="center"/>
    </xf>
    <xf numFmtId="43" fontId="2" fillId="0" borderId="5" xfId="53" applyNumberFormat="1" applyFont="1" applyFill="1" applyBorder="1" applyAlignment="1">
      <alignment horizontal="center" vertical="center"/>
    </xf>
    <xf numFmtId="10" fontId="2" fillId="4" borderId="5" xfId="53" applyNumberFormat="1" applyFont="1" applyFill="1" applyBorder="1" applyAlignment="1">
      <alignment horizontal="center" vertical="center"/>
    </xf>
    <xf numFmtId="43" fontId="2" fillId="2" borderId="5" xfId="1" applyFont="1" applyFill="1" applyBorder="1" applyAlignment="1">
      <alignment horizontal="center" vertical="center"/>
    </xf>
    <xf numFmtId="0" fontId="2" fillId="2" borderId="5" xfId="55" applyFont="1" applyFill="1" applyBorder="1" applyAlignment="1">
      <alignment horizontal="center" vertical="center"/>
    </xf>
    <xf numFmtId="43" fontId="0" fillId="0" borderId="5" xfId="58" applyNumberFormat="1" applyBorder="1" applyAlignment="1">
      <alignment horizontal="center" vertical="center"/>
    </xf>
    <xf numFmtId="43" fontId="0" fillId="4" borderId="5" xfId="58" applyNumberFormat="1" applyFill="1" applyBorder="1" applyAlignment="1">
      <alignment horizontal="center" vertical="center"/>
    </xf>
    <xf numFmtId="10" fontId="0" fillId="4" borderId="5" xfId="58" applyNumberFormat="1" applyFill="1" applyBorder="1" applyAlignment="1">
      <alignment horizontal="center" vertical="center"/>
    </xf>
    <xf numFmtId="14" fontId="2" fillId="2" borderId="5" xfId="55" applyNumberFormat="1" applyFont="1" applyFill="1" applyBorder="1" applyAlignment="1">
      <alignment horizontal="center" vertical="center"/>
    </xf>
    <xf numFmtId="0" fontId="2" fillId="2" borderId="6" xfId="55" applyFont="1" applyFill="1" applyBorder="1" applyAlignment="1">
      <alignment horizontal="center" vertical="center"/>
    </xf>
    <xf numFmtId="176" fontId="0" fillId="0" borderId="5" xfId="53" applyFont="1" applyBorder="1" applyAlignment="1">
      <alignment horizontal="center" vertical="center"/>
    </xf>
    <xf numFmtId="43" fontId="0" fillId="0" borderId="5" xfId="53" applyNumberFormat="1" applyBorder="1" applyAlignment="1">
      <alignment horizontal="center" vertical="center"/>
    </xf>
    <xf numFmtId="43" fontId="0" fillId="4" borderId="5" xfId="53" applyNumberFormat="1" applyFill="1" applyBorder="1" applyAlignment="1">
      <alignment horizontal="center" vertical="center"/>
    </xf>
    <xf numFmtId="10" fontId="0" fillId="4" borderId="5" xfId="53" applyNumberFormat="1" applyFill="1" applyBorder="1" applyAlignment="1">
      <alignment horizontal="center" vertical="center"/>
    </xf>
    <xf numFmtId="176" fontId="0" fillId="0" borderId="5" xfId="53" applyBorder="1" applyAlignment="1">
      <alignment horizontal="center" vertical="center"/>
    </xf>
    <xf numFmtId="176" fontId="0" fillId="2" borderId="5" xfId="53" applyFont="1" applyFill="1" applyBorder="1" applyAlignment="1">
      <alignment horizontal="center" vertical="center"/>
    </xf>
    <xf numFmtId="43" fontId="1" fillId="2" borderId="5" xfId="53" applyNumberFormat="1" applyFont="1" applyFill="1" applyBorder="1" applyAlignment="1">
      <alignment horizontal="center" vertical="center"/>
    </xf>
    <xf numFmtId="176" fontId="2" fillId="2" borderId="5" xfId="53" applyFont="1" applyFill="1" applyBorder="1" applyAlignment="1">
      <alignment horizontal="center" vertical="center"/>
    </xf>
    <xf numFmtId="0" fontId="2" fillId="0" borderId="5" xfId="52" applyFont="1" applyBorder="1" applyAlignment="1">
      <alignment horizontal="center" vertical="center"/>
    </xf>
    <xf numFmtId="43" fontId="0" fillId="2" borderId="5" xfId="1" applyFill="1" applyBorder="1" applyAlignment="1">
      <alignment horizontal="center" vertical="center"/>
    </xf>
    <xf numFmtId="43" fontId="0" fillId="2" borderId="5" xfId="53" applyNumberFormat="1" applyFill="1" applyBorder="1" applyAlignment="1">
      <alignment horizontal="center" vertical="center"/>
    </xf>
    <xf numFmtId="10" fontId="0" fillId="2" borderId="5" xfId="53" applyNumberFormat="1" applyFill="1" applyBorder="1" applyAlignment="1">
      <alignment horizontal="center" vertical="center"/>
    </xf>
    <xf numFmtId="0" fontId="0" fillId="0" borderId="0" xfId="52" applyAlignment="1">
      <alignment horizontal="center" vertical="center"/>
    </xf>
    <xf numFmtId="176" fontId="0" fillId="2" borderId="5" xfId="53" applyFill="1" applyBorder="1" applyAlignment="1">
      <alignment horizontal="center" vertical="center"/>
    </xf>
    <xf numFmtId="0" fontId="6" fillId="2" borderId="0" xfId="64" applyFont="1" applyFill="1" applyBorder="1" applyAlignment="1">
      <alignment horizontal="center" vertical="center"/>
    </xf>
    <xf numFmtId="0" fontId="6" fillId="2" borderId="5" xfId="64" applyFont="1" applyFill="1" applyBorder="1" applyAlignment="1">
      <alignment horizontal="center" vertical="center"/>
    </xf>
    <xf numFmtId="0" fontId="6" fillId="5" borderId="5" xfId="64" applyFont="1" applyFill="1" applyBorder="1" applyAlignment="1">
      <alignment horizontal="center" vertical="center" wrapText="1"/>
    </xf>
    <xf numFmtId="0" fontId="6" fillId="5" borderId="5" xfId="52" applyFont="1" applyFill="1" applyBorder="1" applyAlignment="1">
      <alignment horizontal="center" vertical="center" wrapText="1"/>
    </xf>
    <xf numFmtId="0" fontId="6" fillId="5" borderId="5" xfId="64" applyFont="1" applyFill="1" applyBorder="1" applyAlignment="1">
      <alignment horizontal="center" vertical="center"/>
    </xf>
    <xf numFmtId="0" fontId="6" fillId="2" borderId="5" xfId="64" applyFont="1" applyFill="1" applyBorder="1" applyAlignment="1">
      <alignment horizontal="center" vertical="center" wrapText="1"/>
    </xf>
    <xf numFmtId="0" fontId="6" fillId="2" borderId="5" xfId="64" applyFont="1" applyFill="1" applyBorder="1" applyAlignment="1">
      <alignment horizontal="left" vertical="center" wrapText="1"/>
    </xf>
    <xf numFmtId="0" fontId="6" fillId="2" borderId="0" xfId="64" applyFont="1" applyFill="1" applyAlignment="1">
      <alignment horizontal="center" vertical="center"/>
    </xf>
    <xf numFmtId="0" fontId="6" fillId="5" borderId="0" xfId="64" applyFont="1" applyFill="1" applyBorder="1" applyAlignment="1">
      <alignment horizontal="center" vertical="center" wrapText="1"/>
    </xf>
    <xf numFmtId="0" fontId="6" fillId="5" borderId="0" xfId="52" applyFont="1" applyFill="1" applyBorder="1" applyAlignment="1">
      <alignment horizontal="center" vertical="center" wrapText="1"/>
    </xf>
    <xf numFmtId="0" fontId="7" fillId="5" borderId="0" xfId="52" applyFont="1" applyFill="1" applyBorder="1" applyAlignment="1">
      <alignment horizontal="center" vertical="center" wrapText="1"/>
    </xf>
    <xf numFmtId="43" fontId="7" fillId="5" borderId="0" xfId="67" applyFont="1" applyFill="1" applyBorder="1" applyAlignment="1">
      <alignment horizontal="center" vertical="center" wrapText="1"/>
    </xf>
    <xf numFmtId="0" fontId="6" fillId="5" borderId="0" xfId="64" applyFont="1" applyFill="1" applyBorder="1" applyAlignment="1">
      <alignment horizontal="center" vertical="center"/>
    </xf>
    <xf numFmtId="0" fontId="6" fillId="2" borderId="0" xfId="64" applyFont="1" applyFill="1" applyBorder="1" applyAlignment="1">
      <alignment horizontal="center" vertical="center" wrapText="1"/>
    </xf>
    <xf numFmtId="0" fontId="6" fillId="2" borderId="0" xfId="64" applyFont="1" applyFill="1" applyBorder="1" applyAlignment="1">
      <alignment horizontal="left" vertical="center" wrapText="1"/>
    </xf>
    <xf numFmtId="0" fontId="8" fillId="2" borderId="7" xfId="64" applyFont="1" applyFill="1" applyBorder="1" applyAlignment="1">
      <alignment horizontal="center" vertical="center"/>
    </xf>
    <xf numFmtId="0" fontId="8" fillId="2" borderId="8" xfId="64" applyFont="1" applyFill="1" applyBorder="1" applyAlignment="1">
      <alignment horizontal="center" vertical="center"/>
    </xf>
    <xf numFmtId="0" fontId="8" fillId="2" borderId="9" xfId="64" applyFont="1" applyFill="1" applyBorder="1" applyAlignment="1">
      <alignment horizontal="left" vertical="center"/>
    </xf>
    <xf numFmtId="0" fontId="9" fillId="5" borderId="10" xfId="64" applyFont="1" applyFill="1" applyBorder="1" applyAlignment="1">
      <alignment horizontal="center" vertical="center"/>
    </xf>
    <xf numFmtId="0" fontId="9" fillId="5" borderId="11" xfId="64" applyFont="1" applyFill="1" applyBorder="1" applyAlignment="1">
      <alignment horizontal="center" vertical="center"/>
    </xf>
    <xf numFmtId="0" fontId="9" fillId="5" borderId="12" xfId="64" applyFont="1" applyFill="1" applyBorder="1" applyAlignment="1">
      <alignment horizontal="center" vertical="center"/>
    </xf>
    <xf numFmtId="0" fontId="6" fillId="2" borderId="13" xfId="64" applyNumberFormat="1" applyFont="1" applyFill="1" applyBorder="1" applyAlignment="1">
      <alignment horizontal="center" vertical="center" wrapText="1"/>
    </xf>
    <xf numFmtId="0" fontId="6" fillId="5" borderId="8" xfId="64" applyFont="1" applyFill="1" applyBorder="1" applyAlignment="1">
      <alignment horizontal="center" vertical="center" wrapText="1"/>
    </xf>
    <xf numFmtId="0" fontId="6" fillId="5" borderId="5" xfId="52" applyNumberFormat="1" applyFont="1" applyFill="1" applyBorder="1" applyAlignment="1">
      <alignment horizontal="center" vertical="center" wrapText="1"/>
    </xf>
    <xf numFmtId="0" fontId="7" fillId="5" borderId="14" xfId="52" applyFont="1" applyFill="1" applyBorder="1" applyAlignment="1">
      <alignment horizontal="center" vertical="center" wrapText="1"/>
    </xf>
    <xf numFmtId="0" fontId="7" fillId="5" borderId="15" xfId="52" applyFont="1" applyFill="1" applyBorder="1" applyAlignment="1">
      <alignment horizontal="center" vertical="center" wrapText="1"/>
    </xf>
    <xf numFmtId="0" fontId="6" fillId="5" borderId="16" xfId="64" applyFont="1" applyFill="1" applyBorder="1" applyAlignment="1">
      <alignment vertical="center"/>
    </xf>
    <xf numFmtId="0" fontId="6" fillId="5" borderId="17" xfId="64" applyFont="1" applyFill="1" applyBorder="1" applyAlignment="1">
      <alignment vertical="center"/>
    </xf>
    <xf numFmtId="0" fontId="6" fillId="2" borderId="9" xfId="64" applyNumberFormat="1" applyFont="1" applyFill="1" applyBorder="1" applyAlignment="1">
      <alignment horizontal="center" vertical="center" wrapText="1"/>
    </xf>
    <xf numFmtId="0" fontId="6" fillId="0" borderId="5" xfId="52" applyNumberFormat="1" applyFont="1" applyFill="1" applyBorder="1" applyAlignment="1">
      <alignment horizontal="center" vertical="center" wrapText="1"/>
    </xf>
    <xf numFmtId="0" fontId="6" fillId="0" borderId="5" xfId="59" applyNumberFormat="1" applyFont="1" applyFill="1" applyBorder="1" applyAlignment="1">
      <alignment horizontal="center" vertical="center" wrapText="1"/>
    </xf>
    <xf numFmtId="0" fontId="10" fillId="2" borderId="5" xfId="61" applyNumberFormat="1" applyFont="1" applyFill="1" applyBorder="1" applyAlignment="1">
      <alignment horizontal="center" vertical="center" wrapText="1"/>
    </xf>
    <xf numFmtId="1" fontId="6" fillId="5" borderId="5" xfId="64" applyNumberFormat="1" applyFont="1" applyFill="1" applyBorder="1" applyAlignment="1">
      <alignment horizontal="center" vertical="center"/>
    </xf>
    <xf numFmtId="1" fontId="6" fillId="5" borderId="17" xfId="64" applyNumberFormat="1" applyFont="1" applyFill="1" applyBorder="1" applyAlignment="1">
      <alignment horizontal="center" vertical="center"/>
    </xf>
    <xf numFmtId="0" fontId="10" fillId="5" borderId="5" xfId="61" applyNumberFormat="1" applyFont="1" applyFill="1" applyBorder="1" applyAlignment="1">
      <alignment horizontal="center" vertical="center" wrapText="1"/>
    </xf>
    <xf numFmtId="1" fontId="6" fillId="5" borderId="18" xfId="64" applyNumberFormat="1" applyFont="1" applyFill="1" applyBorder="1" applyAlignment="1">
      <alignment horizontal="center" vertical="center"/>
    </xf>
    <xf numFmtId="1" fontId="6" fillId="5" borderId="8" xfId="64" applyNumberFormat="1" applyFont="1" applyFill="1" applyBorder="1" applyAlignment="1">
      <alignment horizontal="center" vertical="center"/>
    </xf>
    <xf numFmtId="0" fontId="11" fillId="0" borderId="19" xfId="52" applyFont="1" applyFill="1" applyBorder="1" applyAlignment="1">
      <alignment horizontal="left" vertical="center" wrapText="1"/>
    </xf>
    <xf numFmtId="0" fontId="11" fillId="0" borderId="19" xfId="52" applyFont="1" applyFill="1" applyBorder="1" applyAlignment="1">
      <alignment horizontal="left" vertical="center"/>
    </xf>
    <xf numFmtId="14" fontId="6" fillId="2" borderId="5" xfId="64" applyNumberFormat="1" applyFont="1" applyFill="1" applyBorder="1" applyAlignment="1">
      <alignment horizontal="center" vertical="center"/>
    </xf>
    <xf numFmtId="0" fontId="10" fillId="5" borderId="5" xfId="62" applyNumberFormat="1" applyFont="1" applyFill="1" applyBorder="1" applyAlignment="1">
      <alignment horizontal="center" vertical="center" wrapText="1"/>
    </xf>
    <xf numFmtId="0" fontId="6" fillId="2" borderId="5" xfId="52" applyNumberFormat="1" applyFont="1" applyFill="1" applyBorder="1" applyAlignment="1">
      <alignment horizontal="center" vertical="center" wrapText="1"/>
    </xf>
    <xf numFmtId="14" fontId="6" fillId="2" borderId="5" xfId="52" applyNumberFormat="1" applyFont="1" applyFill="1" applyBorder="1" applyAlignment="1">
      <alignment horizontal="center" vertical="center"/>
    </xf>
    <xf numFmtId="0" fontId="6" fillId="2" borderId="5" xfId="64" applyFont="1" applyFill="1" applyBorder="1" applyAlignment="1">
      <alignment horizontal="left" vertical="center"/>
    </xf>
    <xf numFmtId="181" fontId="6" fillId="5" borderId="5" xfId="64" applyNumberFormat="1" applyFont="1" applyFill="1" applyBorder="1" applyAlignment="1">
      <alignment horizontal="center" vertical="center"/>
    </xf>
    <xf numFmtId="181" fontId="6" fillId="5" borderId="5" xfId="64" applyNumberFormat="1" applyFont="1" applyFill="1" applyBorder="1" applyAlignment="1">
      <alignment horizontal="center" vertical="center" wrapText="1"/>
    </xf>
    <xf numFmtId="0" fontId="12" fillId="0" borderId="10" xfId="52" applyFont="1" applyFill="1" applyBorder="1" applyAlignment="1">
      <alignment horizontal="center" vertical="center" wrapText="1"/>
    </xf>
    <xf numFmtId="0" fontId="12" fillId="0" borderId="19" xfId="52" applyFont="1" applyFill="1" applyBorder="1" applyAlignment="1">
      <alignment horizontal="center" vertical="center" wrapText="1"/>
    </xf>
    <xf numFmtId="182" fontId="13" fillId="6" borderId="5" xfId="52" applyNumberFormat="1" applyFont="1" applyFill="1" applyBorder="1" applyAlignment="1">
      <alignment horizontal="left" vertical="center" wrapText="1"/>
    </xf>
    <xf numFmtId="182" fontId="13" fillId="6" borderId="5" xfId="52" applyNumberFormat="1" applyFont="1" applyFill="1" applyBorder="1" applyAlignment="1">
      <alignment horizontal="center" vertical="center"/>
    </xf>
    <xf numFmtId="178" fontId="6" fillId="5" borderId="5" xfId="64" applyNumberFormat="1" applyFont="1" applyFill="1" applyBorder="1" applyAlignment="1">
      <alignment horizontal="center" vertical="center"/>
    </xf>
    <xf numFmtId="0" fontId="6" fillId="5" borderId="17" xfId="64" applyFont="1" applyFill="1" applyBorder="1" applyAlignment="1">
      <alignment horizontal="center" vertical="center" wrapText="1"/>
    </xf>
    <xf numFmtId="0" fontId="6" fillId="5" borderId="17" xfId="52" applyFont="1" applyFill="1" applyBorder="1" applyAlignment="1">
      <alignment horizontal="center" vertical="center" wrapText="1"/>
    </xf>
    <xf numFmtId="0" fontId="6" fillId="2" borderId="17" xfId="64" applyFont="1" applyFill="1" applyBorder="1" applyAlignment="1">
      <alignment horizontal="center" vertical="center" wrapText="1"/>
    </xf>
    <xf numFmtId="0" fontId="6" fillId="5" borderId="8" xfId="52" applyFont="1" applyFill="1" applyBorder="1" applyAlignment="1">
      <alignment horizontal="center" vertical="center" wrapText="1"/>
    </xf>
    <xf numFmtId="0" fontId="6" fillId="2" borderId="8" xfId="64" applyFont="1" applyFill="1" applyBorder="1" applyAlignment="1">
      <alignment horizontal="center" vertical="center" wrapText="1"/>
    </xf>
    <xf numFmtId="2" fontId="6" fillId="5" borderId="5" xfId="64" applyNumberFormat="1" applyFont="1" applyFill="1" applyBorder="1" applyAlignment="1">
      <alignment horizontal="center" vertical="center"/>
    </xf>
    <xf numFmtId="0" fontId="6" fillId="2" borderId="5" xfId="50" applyFont="1" applyFill="1" applyBorder="1" applyAlignment="1">
      <alignment horizontal="center" vertical="center"/>
    </xf>
    <xf numFmtId="58" fontId="6" fillId="0" borderId="5" xfId="52" applyNumberFormat="1" applyFont="1" applyBorder="1" applyAlignment="1">
      <alignment horizontal="center" vertical="center"/>
    </xf>
    <xf numFmtId="0" fontId="14" fillId="0" borderId="17" xfId="52" applyFont="1" applyFill="1" applyBorder="1" applyAlignment="1">
      <alignment horizontal="center" vertical="center"/>
    </xf>
    <xf numFmtId="58" fontId="6" fillId="2" borderId="5" xfId="64" applyNumberFormat="1" applyFont="1" applyFill="1" applyBorder="1" applyAlignment="1">
      <alignment horizontal="center" vertical="center"/>
    </xf>
    <xf numFmtId="0" fontId="6" fillId="0" borderId="5" xfId="64" applyFont="1" applyFill="1" applyBorder="1" applyAlignment="1">
      <alignment horizontal="center" vertical="center" wrapText="1"/>
    </xf>
    <xf numFmtId="0" fontId="15" fillId="0" borderId="5" xfId="52" applyFont="1" applyBorder="1" applyAlignment="1">
      <alignment horizontal="center" vertical="center"/>
    </xf>
    <xf numFmtId="0" fontId="12" fillId="0" borderId="19" xfId="52" applyFont="1" applyFill="1" applyBorder="1" applyAlignment="1">
      <alignment horizontal="center" vertical="center"/>
    </xf>
    <xf numFmtId="2" fontId="12" fillId="0" borderId="17" xfId="69" applyNumberFormat="1" applyFont="1" applyFill="1" applyBorder="1" applyAlignment="1">
      <alignment horizontal="center" vertical="center"/>
    </xf>
    <xf numFmtId="0" fontId="12" fillId="0" borderId="10" xfId="52" applyFont="1" applyFill="1" applyBorder="1" applyAlignment="1">
      <alignment horizontal="center" vertical="center"/>
    </xf>
    <xf numFmtId="0" fontId="12" fillId="0" borderId="16" xfId="52" applyFont="1" applyFill="1" applyBorder="1" applyAlignment="1">
      <alignment horizontal="center" vertical="center"/>
    </xf>
    <xf numFmtId="0" fontId="16" fillId="0" borderId="10" xfId="52" applyFont="1" applyFill="1" applyBorder="1" applyAlignment="1">
      <alignment horizontal="center" vertical="center"/>
    </xf>
    <xf numFmtId="0" fontId="16" fillId="0" borderId="11" xfId="52" applyFont="1" applyFill="1" applyBorder="1" applyAlignment="1">
      <alignment horizontal="center" vertical="center"/>
    </xf>
    <xf numFmtId="0" fontId="6" fillId="0" borderId="5" xfId="66" applyNumberFormat="1" applyFont="1" applyFill="1" applyBorder="1" applyAlignment="1">
      <alignment horizontal="center" vertical="center" wrapText="1"/>
    </xf>
    <xf numFmtId="0" fontId="6" fillId="2" borderId="5" xfId="65" applyFont="1" applyFill="1" applyBorder="1" applyAlignment="1">
      <alignment horizontal="center" vertical="center"/>
    </xf>
    <xf numFmtId="0" fontId="6" fillId="2" borderId="5" xfId="51" applyFont="1" applyFill="1" applyBorder="1" applyAlignment="1">
      <alignment horizontal="center" vertical="center"/>
    </xf>
    <xf numFmtId="14" fontId="6" fillId="2" borderId="5" xfId="65" applyNumberFormat="1" applyFont="1" applyFill="1" applyBorder="1" applyAlignment="1">
      <alignment horizontal="center" vertical="center"/>
    </xf>
    <xf numFmtId="0" fontId="6" fillId="5" borderId="5" xfId="65" applyFont="1" applyFill="1" applyBorder="1" applyAlignment="1">
      <alignment horizontal="center" vertical="center" wrapText="1"/>
    </xf>
    <xf numFmtId="0" fontId="6" fillId="5" borderId="5" xfId="66" applyFont="1" applyFill="1" applyBorder="1" applyAlignment="1">
      <alignment horizontal="center" vertical="center" wrapText="1"/>
    </xf>
    <xf numFmtId="0" fontId="6" fillId="5" borderId="5" xfId="65" applyFont="1" applyFill="1" applyBorder="1" applyAlignment="1">
      <alignment horizontal="center" vertical="center"/>
    </xf>
    <xf numFmtId="0" fontId="6" fillId="2" borderId="5" xfId="65" applyFont="1" applyFill="1" applyBorder="1" applyAlignment="1">
      <alignment horizontal="center" vertical="center" wrapText="1"/>
    </xf>
    <xf numFmtId="0" fontId="6" fillId="2" borderId="5" xfId="65" applyFont="1" applyFill="1" applyBorder="1" applyAlignment="1">
      <alignment horizontal="left" vertical="center" wrapText="1"/>
    </xf>
    <xf numFmtId="0" fontId="17" fillId="2" borderId="0" xfId="52" applyFont="1" applyFill="1" applyBorder="1" applyAlignment="1">
      <alignment horizontal="center" vertical="center"/>
    </xf>
    <xf numFmtId="0" fontId="6" fillId="2" borderId="0" xfId="52" applyFont="1" applyFill="1" applyBorder="1" applyAlignment="1">
      <alignment horizontal="center" vertical="center"/>
    </xf>
    <xf numFmtId="0" fontId="18" fillId="2" borderId="0" xfId="52" applyFont="1" applyFill="1" applyBorder="1" applyAlignment="1">
      <alignment horizontal="center" vertical="center"/>
    </xf>
    <xf numFmtId="0" fontId="6" fillId="0" borderId="0" xfId="52" applyFont="1" applyFill="1" applyBorder="1" applyAlignment="1">
      <alignment horizontal="center" vertical="center"/>
    </xf>
    <xf numFmtId="43" fontId="18" fillId="0" borderId="0" xfId="67" applyFont="1" applyFill="1" applyBorder="1" applyAlignment="1">
      <alignment horizontal="center" vertical="center"/>
    </xf>
    <xf numFmtId="43" fontId="6" fillId="0" borderId="0" xfId="67" applyFont="1" applyFill="1" applyBorder="1" applyAlignment="1">
      <alignment horizontal="center" vertical="center"/>
    </xf>
    <xf numFmtId="0" fontId="6" fillId="0" borderId="0" xfId="52" applyNumberFormat="1" applyFont="1" applyFill="1" applyBorder="1" applyAlignment="1">
      <alignment horizontal="center" vertical="center"/>
    </xf>
    <xf numFmtId="183" fontId="6" fillId="0" borderId="0" xfId="67" applyNumberFormat="1" applyFont="1" applyFill="1" applyBorder="1" applyAlignment="1">
      <alignment horizontal="center" vertical="center"/>
    </xf>
    <xf numFmtId="183" fontId="18" fillId="0" borderId="0" xfId="67" applyNumberFormat="1" applyFont="1" applyFill="1" applyBorder="1" applyAlignment="1">
      <alignment horizontal="center" vertical="center"/>
    </xf>
    <xf numFmtId="179" fontId="6" fillId="0" borderId="0" xfId="52" applyNumberFormat="1" applyFont="1" applyFill="1" applyBorder="1" applyAlignment="1">
      <alignment horizontal="center" vertical="center"/>
    </xf>
    <xf numFmtId="0" fontId="18" fillId="0" borderId="0" xfId="52" applyFont="1" applyFill="1" applyBorder="1" applyAlignment="1">
      <alignment horizontal="center" vertical="center"/>
    </xf>
    <xf numFmtId="0" fontId="17" fillId="2" borderId="0" xfId="52" applyNumberFormat="1" applyFont="1" applyFill="1" applyBorder="1" applyAlignment="1">
      <alignment horizontal="center" vertical="center"/>
    </xf>
    <xf numFmtId="183" fontId="17" fillId="2" borderId="0" xfId="67" applyNumberFormat="1" applyFont="1" applyFill="1" applyBorder="1" applyAlignment="1">
      <alignment horizontal="center" vertical="center"/>
    </xf>
    <xf numFmtId="183" fontId="19" fillId="2" borderId="0" xfId="67" applyNumberFormat="1" applyFont="1" applyFill="1" applyBorder="1" applyAlignment="1">
      <alignment horizontal="center" vertical="center"/>
    </xf>
    <xf numFmtId="183" fontId="17" fillId="7" borderId="0" xfId="67" applyNumberFormat="1" applyFont="1" applyFill="1" applyBorder="1" applyAlignment="1">
      <alignment horizontal="center" vertical="center" wrapText="1"/>
    </xf>
    <xf numFmtId="179" fontId="17" fillId="2" borderId="0" xfId="52" applyNumberFormat="1" applyFont="1" applyFill="1" applyBorder="1" applyAlignment="1">
      <alignment horizontal="center" vertical="center"/>
    </xf>
    <xf numFmtId="0" fontId="17" fillId="7" borderId="0" xfId="52" applyFont="1" applyFill="1" applyBorder="1" applyAlignment="1">
      <alignment horizontal="center" vertical="center"/>
    </xf>
    <xf numFmtId="183" fontId="18" fillId="8" borderId="0" xfId="67" applyNumberFormat="1" applyFont="1" applyFill="1" applyBorder="1" applyAlignment="1">
      <alignment horizontal="center" vertical="center"/>
    </xf>
    <xf numFmtId="0" fontId="6" fillId="8" borderId="0" xfId="52" applyFont="1" applyFill="1" applyBorder="1" applyAlignment="1">
      <alignment horizontal="center" vertical="center"/>
    </xf>
    <xf numFmtId="43" fontId="18" fillId="2" borderId="0" xfId="67" applyFont="1" applyFill="1" applyBorder="1" applyAlignment="1">
      <alignment horizontal="center" vertical="center"/>
    </xf>
    <xf numFmtId="0" fontId="6" fillId="2" borderId="0" xfId="52" applyNumberFormat="1" applyFont="1" applyFill="1" applyBorder="1" applyAlignment="1">
      <alignment horizontal="center" vertical="center"/>
    </xf>
    <xf numFmtId="183" fontId="6" fillId="2" borderId="0" xfId="67" applyNumberFormat="1" applyFont="1" applyFill="1" applyBorder="1" applyAlignment="1">
      <alignment horizontal="center" vertical="center"/>
    </xf>
    <xf numFmtId="183" fontId="18" fillId="2" borderId="0" xfId="67" applyNumberFormat="1" applyFont="1" applyFill="1" applyBorder="1" applyAlignment="1">
      <alignment horizontal="center" vertical="center"/>
    </xf>
    <xf numFmtId="179" fontId="6" fillId="2" borderId="0" xfId="52" applyNumberFormat="1" applyFont="1" applyFill="1" applyBorder="1" applyAlignment="1">
      <alignment horizontal="center" vertical="center"/>
    </xf>
    <xf numFmtId="0" fontId="20" fillId="9" borderId="20" xfId="52" applyFont="1" applyFill="1" applyBorder="1" applyAlignment="1">
      <alignment horizontal="center" vertical="center"/>
    </xf>
    <xf numFmtId="0" fontId="20" fillId="9" borderId="21" xfId="52" applyFont="1" applyFill="1" applyBorder="1" applyAlignment="1">
      <alignment horizontal="center" vertical="center"/>
    </xf>
    <xf numFmtId="0" fontId="20" fillId="9" borderId="22" xfId="52" applyFont="1" applyFill="1" applyBorder="1" applyAlignment="1">
      <alignment horizontal="center" vertical="center"/>
    </xf>
    <xf numFmtId="183" fontId="8" fillId="7" borderId="22" xfId="67" applyNumberFormat="1" applyFont="1" applyFill="1" applyBorder="1" applyAlignment="1">
      <alignment horizontal="center" vertical="center"/>
    </xf>
    <xf numFmtId="43" fontId="8" fillId="7" borderId="22" xfId="67" applyFont="1" applyFill="1" applyBorder="1" applyAlignment="1">
      <alignment horizontal="center" vertical="center"/>
    </xf>
    <xf numFmtId="0" fontId="20" fillId="10" borderId="22" xfId="52" applyNumberFormat="1" applyFont="1" applyFill="1" applyBorder="1" applyAlignment="1">
      <alignment horizontal="center" vertical="center"/>
    </xf>
    <xf numFmtId="0" fontId="20" fillId="11" borderId="22" xfId="52" applyFont="1" applyFill="1" applyBorder="1" applyAlignment="1">
      <alignment horizontal="center" vertical="center"/>
    </xf>
    <xf numFmtId="0" fontId="20" fillId="11" borderId="23" xfId="52" applyFont="1" applyFill="1" applyBorder="1" applyAlignment="1">
      <alignment horizontal="center" vertical="center"/>
    </xf>
    <xf numFmtId="0" fontId="18" fillId="3" borderId="8" xfId="52" applyFont="1" applyFill="1" applyBorder="1" applyAlignment="1">
      <alignment horizontal="center" vertical="center"/>
    </xf>
    <xf numFmtId="0" fontId="18" fillId="3" borderId="24" xfId="52" applyFont="1" applyFill="1" applyBorder="1" applyAlignment="1">
      <alignment horizontal="center" vertical="center"/>
    </xf>
    <xf numFmtId="0" fontId="18" fillId="8" borderId="8" xfId="52" applyFont="1" applyFill="1" applyBorder="1" applyAlignment="1">
      <alignment horizontal="center" vertical="center"/>
    </xf>
    <xf numFmtId="0" fontId="18" fillId="8" borderId="18" xfId="52" applyFont="1" applyFill="1" applyBorder="1" applyAlignment="1">
      <alignment horizontal="center" vertical="center"/>
    </xf>
    <xf numFmtId="0" fontId="18" fillId="12" borderId="8" xfId="52" applyFont="1" applyFill="1" applyBorder="1" applyAlignment="1">
      <alignment horizontal="center" vertical="center"/>
    </xf>
    <xf numFmtId="43" fontId="18" fillId="8" borderId="8" xfId="67" applyFont="1" applyFill="1" applyBorder="1" applyAlignment="1">
      <alignment horizontal="center" vertical="center" wrapText="1"/>
    </xf>
    <xf numFmtId="180" fontId="18" fillId="3" borderId="8" xfId="67" applyNumberFormat="1" applyFont="1" applyFill="1" applyBorder="1" applyAlignment="1">
      <alignment horizontal="center" vertical="center" wrapText="1"/>
    </xf>
    <xf numFmtId="0" fontId="18" fillId="3" borderId="8" xfId="50" applyFont="1" applyFill="1" applyBorder="1" applyAlignment="1">
      <alignment vertical="center"/>
    </xf>
    <xf numFmtId="0" fontId="18" fillId="8" borderId="8" xfId="50" applyFont="1" applyFill="1" applyBorder="1" applyAlignment="1">
      <alignment vertical="center"/>
    </xf>
    <xf numFmtId="0" fontId="18" fillId="8" borderId="8" xfId="50" applyFont="1" applyFill="1" applyBorder="1" applyAlignment="1">
      <alignment horizontal="left" vertical="center"/>
    </xf>
    <xf numFmtId="180" fontId="18" fillId="8" borderId="8" xfId="50" applyNumberFormat="1" applyFont="1" applyFill="1" applyBorder="1" applyAlignment="1">
      <alignment horizontal="center" vertical="center" wrapText="1"/>
    </xf>
    <xf numFmtId="0" fontId="18" fillId="3" borderId="8" xfId="52" applyFont="1" applyFill="1" applyBorder="1" applyAlignment="1">
      <alignment horizontal="center" vertical="center" wrapText="1"/>
    </xf>
    <xf numFmtId="180" fontId="18" fillId="3" borderId="8" xfId="52" applyNumberFormat="1" applyFont="1" applyFill="1" applyBorder="1" applyAlignment="1">
      <alignment horizontal="center" vertical="center" wrapText="1"/>
    </xf>
    <xf numFmtId="183" fontId="18" fillId="3" borderId="8" xfId="67" applyNumberFormat="1" applyFont="1" applyFill="1" applyBorder="1" applyAlignment="1">
      <alignment horizontal="center" vertical="center" wrapText="1"/>
    </xf>
    <xf numFmtId="0" fontId="18" fillId="3" borderId="5" xfId="52" applyFont="1" applyFill="1" applyBorder="1" applyAlignment="1">
      <alignment horizontal="center" vertical="center"/>
    </xf>
    <xf numFmtId="0" fontId="18" fillId="8" borderId="5" xfId="52" applyFont="1" applyFill="1" applyBorder="1" applyAlignment="1">
      <alignment horizontal="center" vertical="center"/>
    </xf>
    <xf numFmtId="0" fontId="18" fillId="12" borderId="5" xfId="52" applyFont="1" applyFill="1" applyBorder="1" applyAlignment="1">
      <alignment horizontal="center" vertical="center"/>
    </xf>
    <xf numFmtId="43" fontId="18" fillId="8" borderId="5" xfId="67" applyFont="1" applyFill="1" applyBorder="1" applyAlignment="1">
      <alignment horizontal="center" vertical="center" wrapText="1"/>
    </xf>
    <xf numFmtId="43" fontId="18" fillId="8" borderId="5" xfId="67" applyFont="1" applyFill="1" applyBorder="1" applyAlignment="1">
      <alignment horizontal="center" vertical="center"/>
    </xf>
    <xf numFmtId="43" fontId="18" fillId="13" borderId="5" xfId="67" applyFont="1" applyFill="1" applyBorder="1" applyAlignment="1">
      <alignment horizontal="center" vertical="center"/>
    </xf>
    <xf numFmtId="43" fontId="18" fillId="3" borderId="5" xfId="67" applyFont="1" applyFill="1" applyBorder="1" applyAlignment="1">
      <alignment horizontal="center" vertical="center" wrapText="1"/>
    </xf>
    <xf numFmtId="0" fontId="18" fillId="3" borderId="5" xfId="50" applyFont="1" applyFill="1" applyBorder="1" applyAlignment="1">
      <alignment vertical="center"/>
    </xf>
    <xf numFmtId="0" fontId="18" fillId="8" borderId="5" xfId="50" applyFont="1" applyFill="1" applyBorder="1" applyAlignment="1">
      <alignment vertical="center"/>
    </xf>
    <xf numFmtId="0" fontId="18" fillId="8" borderId="5" xfId="50" applyFont="1" applyFill="1" applyBorder="1" applyAlignment="1">
      <alignment horizontal="left" vertical="center"/>
    </xf>
    <xf numFmtId="180" fontId="18" fillId="3" borderId="5" xfId="50" applyNumberFormat="1" applyFont="1" applyFill="1" applyBorder="1" applyAlignment="1">
      <alignment horizontal="center" vertical="center" wrapText="1"/>
    </xf>
    <xf numFmtId="180" fontId="18" fillId="8" borderId="5" xfId="50" applyNumberFormat="1" applyFont="1" applyFill="1" applyBorder="1" applyAlignment="1">
      <alignment horizontal="center" vertical="center" wrapText="1"/>
    </xf>
    <xf numFmtId="0" fontId="18" fillId="3" borderId="5" xfId="52" applyNumberFormat="1" applyFont="1" applyFill="1" applyBorder="1" applyAlignment="1">
      <alignment horizontal="center" vertical="center" wrapText="1"/>
    </xf>
    <xf numFmtId="183" fontId="18" fillId="3" borderId="5" xfId="67" applyNumberFormat="1" applyFont="1" applyFill="1" applyBorder="1" applyAlignment="1">
      <alignment horizontal="center" vertical="center" wrapText="1"/>
    </xf>
    <xf numFmtId="183" fontId="18" fillId="8" borderId="5" xfId="67" applyNumberFormat="1" applyFont="1" applyFill="1" applyBorder="1" applyAlignment="1">
      <alignment horizontal="center" vertical="center" wrapText="1"/>
    </xf>
    <xf numFmtId="179" fontId="18" fillId="3" borderId="5" xfId="68" applyNumberFormat="1" applyFont="1" applyFill="1" applyBorder="1" applyAlignment="1">
      <alignment horizontal="center" vertical="center" wrapText="1"/>
    </xf>
    <xf numFmtId="179" fontId="18" fillId="3" borderId="5" xfId="52" applyNumberFormat="1" applyFont="1" applyFill="1" applyBorder="1" applyAlignment="1">
      <alignment horizontal="center" vertical="center" wrapText="1"/>
    </xf>
    <xf numFmtId="0" fontId="18" fillId="3" borderId="5" xfId="52" applyFont="1" applyFill="1" applyBorder="1" applyAlignment="1">
      <alignment horizontal="center" vertical="center" wrapText="1"/>
    </xf>
    <xf numFmtId="0" fontId="6" fillId="2" borderId="5" xfId="52" applyFont="1" applyFill="1" applyBorder="1" applyAlignment="1">
      <alignment horizontal="center" vertical="center"/>
    </xf>
    <xf numFmtId="0" fontId="6" fillId="2" borderId="5" xfId="59" applyNumberFormat="1" applyFont="1" applyFill="1" applyBorder="1" applyAlignment="1">
      <alignment horizontal="center" vertical="center" wrapText="1"/>
    </xf>
    <xf numFmtId="14" fontId="6" fillId="2" borderId="5" xfId="59" applyNumberFormat="1" applyFont="1" applyFill="1" applyBorder="1" applyAlignment="1">
      <alignment horizontal="center" vertical="center" wrapText="1"/>
    </xf>
    <xf numFmtId="0" fontId="21" fillId="0" borderId="5" xfId="0" applyFont="1" applyFill="1" applyBorder="1" applyAlignment="1"/>
    <xf numFmtId="0" fontId="21" fillId="14" borderId="5" xfId="0" applyFont="1" applyFill="1" applyBorder="1" applyAlignment="1"/>
    <xf numFmtId="0" fontId="21" fillId="0" borderId="5" xfId="0" applyNumberFormat="1" applyFont="1" applyFill="1" applyBorder="1" applyAlignment="1"/>
    <xf numFmtId="43" fontId="22" fillId="2" borderId="5" xfId="67" applyFont="1" applyFill="1" applyBorder="1" applyAlignment="1">
      <alignment horizontal="center" vertical="center"/>
    </xf>
    <xf numFmtId="43" fontId="6" fillId="2" borderId="5" xfId="67" applyFont="1" applyFill="1" applyBorder="1" applyAlignment="1">
      <alignment horizontal="center" vertical="center"/>
    </xf>
    <xf numFmtId="43" fontId="18" fillId="2" borderId="5" xfId="67" applyFont="1" applyFill="1" applyBorder="1" applyAlignment="1">
      <alignment horizontal="center" vertical="center" wrapText="1"/>
    </xf>
    <xf numFmtId="43" fontId="18" fillId="2" borderId="5" xfId="67" applyFont="1" applyFill="1" applyBorder="1" applyAlignment="1">
      <alignment horizontal="center" vertical="center"/>
    </xf>
    <xf numFmtId="183" fontId="6" fillId="2" borderId="5" xfId="67" applyNumberFormat="1" applyFont="1" applyFill="1" applyBorder="1" applyAlignment="1">
      <alignment horizontal="center" vertical="center"/>
    </xf>
    <xf numFmtId="183" fontId="18" fillId="2" borderId="5" xfId="67" applyNumberFormat="1" applyFont="1" applyFill="1" applyBorder="1" applyAlignment="1">
      <alignment horizontal="center" vertical="center"/>
    </xf>
    <xf numFmtId="179" fontId="6" fillId="2" borderId="5" xfId="67" applyNumberFormat="1" applyFont="1" applyFill="1" applyBorder="1" applyAlignment="1">
      <alignment horizontal="center" vertical="center" wrapText="1"/>
    </xf>
    <xf numFmtId="183" fontId="18" fillId="2" borderId="5" xfId="67" applyNumberFormat="1" applyFont="1" applyFill="1" applyBorder="1" applyAlignment="1">
      <alignment horizontal="center" vertical="center" wrapText="1"/>
    </xf>
    <xf numFmtId="180" fontId="6" fillId="2" borderId="5" xfId="67" applyNumberFormat="1" applyFont="1" applyFill="1" applyBorder="1" applyAlignment="1">
      <alignment horizontal="center" vertical="center"/>
    </xf>
    <xf numFmtId="0" fontId="6" fillId="5" borderId="5" xfId="64" applyFont="1" applyFill="1" applyBorder="1" applyAlignment="1" quotePrefix="1">
      <alignment horizontal="center" vertical="center" wrapText="1"/>
    </xf>
    <xf numFmtId="0" fontId="6" fillId="2" borderId="5" xfId="64" applyFont="1" applyFill="1" applyBorder="1" applyAlignment="1" quotePrefix="1">
      <alignment horizontal="left" vertical="center" wrapText="1"/>
    </xf>
  </cellXfs>
  <cellStyles count="7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11" xfId="50"/>
    <cellStyle name="常规 11_设计优化提案评估" xfId="51"/>
    <cellStyle name="常规 2" xfId="52"/>
    <cellStyle name="常规 2 2" xfId="53"/>
    <cellStyle name="常规 2 3 2 3" xfId="54"/>
    <cellStyle name="常规 2 3 2 3_样件评估" xfId="55"/>
    <cellStyle name="常规 2 3 2 92" xfId="56"/>
    <cellStyle name="常规 2 4 3" xfId="57"/>
    <cellStyle name="常规 2 4 3_样件评估" xfId="58"/>
    <cellStyle name="常规 3 2" xfId="59"/>
    <cellStyle name="常规 3 2 2 2 2 15" xfId="60"/>
    <cellStyle name="常规 4 5 3" xfId="61"/>
    <cellStyle name="常规 4 8" xfId="62"/>
    <cellStyle name="常规 5" xfId="63"/>
    <cellStyle name="常规 7 3" xfId="64"/>
    <cellStyle name="常规 7 3_设计优化提案评估" xfId="65"/>
    <cellStyle name="常规_设计优化提案评估" xfId="66"/>
    <cellStyle name="千位分隔 2" xfId="67"/>
    <cellStyle name="千位分隔 3" xfId="68"/>
    <cellStyle name="千位分隔 4 2" xfId="69"/>
    <cellStyle name="百分比 2 2" xfId="70"/>
    <cellStyle name="常规 15 2 2 2" xfId="71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Q6"/>
  <sheetViews>
    <sheetView tabSelected="1" zoomScale="80" zoomScaleNormal="80" workbookViewId="0">
      <pane xSplit="12" ySplit="5" topLeftCell="M6" activePane="bottomRight" state="frozen"/>
      <selection/>
      <selection pane="topRight"/>
      <selection pane="bottomLeft"/>
      <selection pane="bottomRight" activeCell="O12" sqref="O12"/>
    </sheetView>
  </sheetViews>
  <sheetFormatPr defaultColWidth="9" defaultRowHeight="14.6" outlineLevelRow="5"/>
  <cols>
    <col min="1" max="1" width="2" style="149" customWidth="1"/>
    <col min="2" max="2" width="2.91150442477876" style="149" customWidth="1"/>
    <col min="3" max="3" width="15.3008849557522" style="149" customWidth="1"/>
    <col min="4" max="4" width="13" style="149" customWidth="1"/>
    <col min="5" max="5" width="15.5044247787611" style="149" customWidth="1"/>
    <col min="6" max="6" width="9" style="149"/>
    <col min="7" max="7" width="13.2477876106195" style="149" customWidth="1"/>
    <col min="8" max="8" width="12.3362831858407" style="149" customWidth="1"/>
    <col min="9" max="10" width="9.79646017699115" style="149" customWidth="1"/>
    <col min="11" max="11" width="12.0796460176991" style="149" customWidth="1"/>
    <col min="12" max="12" width="23.5044247787611" style="149" customWidth="1"/>
    <col min="13" max="13" width="9.50442477876106" style="150" customWidth="1" outlineLevel="1"/>
    <col min="14" max="14" width="9.24778761061947" style="150" customWidth="1" outlineLevel="1"/>
    <col min="15" max="16" width="9.07964601769912" style="150" customWidth="1" outlineLevel="1"/>
    <col min="17" max="17" width="9.07964601769912" style="151" customWidth="1" outlineLevel="1"/>
    <col min="18" max="18" width="12.5840707964602" style="151" customWidth="1" outlineLevel="1"/>
    <col min="19" max="19" width="9.07964601769912" style="150" customWidth="1" outlineLevel="1"/>
    <col min="20" max="27" width="14" style="150" customWidth="1"/>
    <col min="28" max="28" width="16.5840707964602" style="152" customWidth="1"/>
    <col min="29" max="29" width="15" style="153" customWidth="1" outlineLevel="1"/>
    <col min="30" max="30" width="14.8318584070796" style="154" customWidth="1" outlineLevel="1"/>
    <col min="31" max="31" width="13.7522123893805" style="154" customWidth="1" outlineLevel="1"/>
    <col min="32" max="32" width="11.8318584070796" style="155" customWidth="1"/>
    <col min="33" max="33" width="12.2477876106195" style="155" customWidth="1" outlineLevel="1"/>
    <col min="34" max="34" width="13.7522123893805" style="155" customWidth="1" outlineLevel="1"/>
    <col min="35" max="35" width="9.07964601769912" style="155" customWidth="1" outlineLevel="1"/>
    <col min="36" max="36" width="11.3362831858407" style="155" customWidth="1" outlineLevel="1"/>
    <col min="37" max="37" width="11.3362831858407" style="154" customWidth="1" outlineLevel="1"/>
    <col min="38" max="38" width="12" style="155" customWidth="1" outlineLevel="1"/>
    <col min="39" max="39" width="13.2477876106195" style="156" customWidth="1" outlineLevel="1"/>
    <col min="40" max="40" width="12.9115044247788" style="149" customWidth="1"/>
    <col min="41" max="42" width="10.0796460176991" style="150" customWidth="1" outlineLevel="1"/>
    <col min="43" max="43" width="12.5840707964602" style="150" customWidth="1" outlineLevel="1"/>
    <col min="44" max="16384" width="9" style="149"/>
  </cols>
  <sheetData>
    <row r="1" s="146" customFormat="1" ht="39" customHeight="1" spans="2:43">
      <c r="B1" s="146" t="s">
        <v>0</v>
      </c>
      <c r="AB1" s="157"/>
      <c r="AC1" s="158"/>
      <c r="AD1" s="159"/>
      <c r="AE1" s="160" t="s">
        <v>1</v>
      </c>
      <c r="AF1" s="161"/>
      <c r="AG1" s="161"/>
      <c r="AH1" s="161"/>
      <c r="AI1" s="161"/>
      <c r="AJ1" s="161"/>
      <c r="AK1" s="159"/>
      <c r="AM1" s="160" t="s">
        <v>1</v>
      </c>
      <c r="AN1" s="162" t="s">
        <v>2</v>
      </c>
      <c r="AO1" s="162"/>
      <c r="AP1" s="162"/>
      <c r="AQ1" s="162"/>
    </row>
    <row r="2" s="147" customFormat="1" ht="67.5" customHeight="1" spans="2:43">
      <c r="G2" s="163" t="s">
        <v>3</v>
      </c>
      <c r="H2" s="164"/>
      <c r="I2" s="163" t="s">
        <v>3</v>
      </c>
      <c r="J2" s="163"/>
      <c r="K2" s="163" t="s">
        <v>3</v>
      </c>
      <c r="L2" s="163" t="s">
        <v>3</v>
      </c>
      <c r="M2" s="163" t="s">
        <v>3</v>
      </c>
      <c r="N2" s="163" t="s">
        <v>3</v>
      </c>
      <c r="O2" s="163" t="s">
        <v>3</v>
      </c>
      <c r="P2" s="163" t="s">
        <v>3</v>
      </c>
      <c r="Q2" s="163" t="s">
        <v>3</v>
      </c>
      <c r="R2" s="163" t="s">
        <v>3</v>
      </c>
      <c r="S2" s="165"/>
      <c r="T2" s="165"/>
      <c r="U2" s="165"/>
      <c r="V2" s="165"/>
      <c r="W2" s="165"/>
      <c r="X2" s="165"/>
      <c r="Y2" s="165"/>
      <c r="Z2" s="163" t="s">
        <v>3</v>
      </c>
      <c r="AA2" s="165"/>
      <c r="AB2" s="166"/>
      <c r="AC2" s="167"/>
      <c r="AD2" s="163" t="s">
        <v>3</v>
      </c>
      <c r="AE2" s="168"/>
      <c r="AF2" s="169"/>
      <c r="AG2" s="169"/>
      <c r="AH2" s="169"/>
      <c r="AI2" s="169"/>
      <c r="AJ2" s="169"/>
      <c r="AK2" s="163" t="s">
        <v>3</v>
      </c>
      <c r="AL2" s="169"/>
      <c r="AM2" s="148"/>
      <c r="AN2" s="147"/>
      <c r="AO2" s="165"/>
      <c r="AP2" s="165"/>
      <c r="AQ2" s="165"/>
    </row>
    <row r="3" s="147" customFormat="1" ht="34.5" customHeight="1" spans="2:43">
      <c r="B3" s="170" t="s">
        <v>4</v>
      </c>
      <c r="C3" s="171"/>
      <c r="D3" s="172"/>
      <c r="E3" s="172"/>
      <c r="F3" s="172"/>
      <c r="G3" s="172"/>
      <c r="H3" s="172"/>
      <c r="I3" s="173" t="s">
        <v>5</v>
      </c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4" t="s">
        <v>6</v>
      </c>
      <c r="V3" s="174"/>
      <c r="W3" s="174"/>
      <c r="X3" s="174"/>
      <c r="Y3" s="174"/>
      <c r="Z3" s="174"/>
      <c r="AA3" s="174"/>
      <c r="AB3" s="175" t="s">
        <v>7</v>
      </c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6" t="s">
        <v>8</v>
      </c>
      <c r="AO3" s="176"/>
      <c r="AP3" s="176"/>
      <c r="AQ3" s="177"/>
    </row>
    <row r="4" s="148" customFormat="1" ht="28" customHeight="1" spans="2:43">
      <c r="B4" s="178" t="s">
        <v>9</v>
      </c>
      <c r="C4" s="179" t="s">
        <v>10</v>
      </c>
      <c r="D4" s="178" t="s">
        <v>11</v>
      </c>
      <c r="E4" s="178" t="s">
        <v>12</v>
      </c>
      <c r="F4" s="178" t="s">
        <v>13</v>
      </c>
      <c r="G4" s="180" t="s">
        <v>14</v>
      </c>
      <c r="H4" s="180" t="s">
        <v>15</v>
      </c>
      <c r="I4" s="180" t="s">
        <v>16</v>
      </c>
      <c r="J4" s="181" t="s">
        <v>17</v>
      </c>
      <c r="K4" s="182" t="s">
        <v>18</v>
      </c>
      <c r="L4" s="180" t="s">
        <v>19</v>
      </c>
      <c r="M4" s="183" t="s">
        <v>20</v>
      </c>
      <c r="N4" s="183"/>
      <c r="O4" s="183"/>
      <c r="P4" s="183"/>
      <c r="Q4" s="183"/>
      <c r="R4" s="183"/>
      <c r="S4" s="184" t="s">
        <v>21</v>
      </c>
      <c r="T4" s="184"/>
      <c r="U4" s="185" t="s">
        <v>22</v>
      </c>
      <c r="V4" s="186" t="s">
        <v>23</v>
      </c>
      <c r="W4" s="186" t="s">
        <v>24</v>
      </c>
      <c r="X4" s="187" t="s">
        <v>19</v>
      </c>
      <c r="Y4" s="188" t="s">
        <v>25</v>
      </c>
      <c r="Z4" s="188"/>
      <c r="AA4" s="188"/>
      <c r="AB4" s="189" t="s">
        <v>26</v>
      </c>
      <c r="AC4" s="189"/>
      <c r="AD4" s="189"/>
      <c r="AE4" s="189"/>
      <c r="AF4" s="190" t="s">
        <v>27</v>
      </c>
      <c r="AG4" s="190"/>
      <c r="AH4" s="190"/>
      <c r="AI4" s="190"/>
      <c r="AJ4" s="190"/>
      <c r="AK4" s="191"/>
      <c r="AL4" s="190"/>
      <c r="AM4" s="190"/>
      <c r="AN4" s="178" t="s">
        <v>28</v>
      </c>
      <c r="AO4" s="178"/>
      <c r="AP4" s="178"/>
      <c r="AQ4" s="178"/>
    </row>
    <row r="5" s="148" customFormat="1" ht="33.75" customHeight="1" spans="2:43">
      <c r="B5" s="192"/>
      <c r="C5" s="178"/>
      <c r="D5" s="192"/>
      <c r="E5" s="192"/>
      <c r="F5" s="192"/>
      <c r="G5" s="193"/>
      <c r="H5" s="193" t="s">
        <v>15</v>
      </c>
      <c r="I5" s="193"/>
      <c r="J5" s="180"/>
      <c r="K5" s="194"/>
      <c r="L5" s="193"/>
      <c r="M5" s="195" t="s">
        <v>29</v>
      </c>
      <c r="N5" s="196" t="s">
        <v>30</v>
      </c>
      <c r="O5" s="196" t="s">
        <v>31</v>
      </c>
      <c r="P5" s="196" t="s">
        <v>32</v>
      </c>
      <c r="Q5" s="197" t="s">
        <v>33</v>
      </c>
      <c r="R5" s="195" t="s">
        <v>34</v>
      </c>
      <c r="S5" s="198" t="s">
        <v>35</v>
      </c>
      <c r="T5" s="198" t="s">
        <v>36</v>
      </c>
      <c r="U5" s="199"/>
      <c r="V5" s="200"/>
      <c r="W5" s="200"/>
      <c r="X5" s="201"/>
      <c r="Y5" s="202" t="s">
        <v>37</v>
      </c>
      <c r="Z5" s="203" t="s">
        <v>38</v>
      </c>
      <c r="AA5" s="202" t="s">
        <v>39</v>
      </c>
      <c r="AB5" s="204" t="s">
        <v>40</v>
      </c>
      <c r="AC5" s="205" t="s">
        <v>41</v>
      </c>
      <c r="AD5" s="206" t="s">
        <v>42</v>
      </c>
      <c r="AE5" s="205" t="s">
        <v>43</v>
      </c>
      <c r="AF5" s="207" t="s">
        <v>44</v>
      </c>
      <c r="AG5" s="208" t="s">
        <v>45</v>
      </c>
      <c r="AH5" s="208" t="s">
        <v>46</v>
      </c>
      <c r="AI5" s="208" t="s">
        <v>47</v>
      </c>
      <c r="AJ5" s="208" t="s">
        <v>48</v>
      </c>
      <c r="AK5" s="206" t="s">
        <v>49</v>
      </c>
      <c r="AL5" s="208" t="s">
        <v>50</v>
      </c>
      <c r="AM5" s="209" t="s">
        <v>43</v>
      </c>
      <c r="AN5" s="209" t="s">
        <v>51</v>
      </c>
      <c r="AO5" s="198" t="s">
        <v>52</v>
      </c>
      <c r="AP5" s="198" t="s">
        <v>53</v>
      </c>
      <c r="AQ5" s="198" t="s">
        <v>54</v>
      </c>
    </row>
    <row r="6" s="147" customFormat="1" ht="12.75" customHeight="1" outlineLevel="1" spans="2:43">
      <c r="B6" s="210">
        <v>1</v>
      </c>
      <c r="C6" s="210"/>
      <c r="D6" s="211"/>
      <c r="E6" s="211"/>
      <c r="F6" s="210"/>
      <c r="G6" s="109" t="s">
        <v>55</v>
      </c>
      <c r="H6" s="210" t="s">
        <v>56</v>
      </c>
      <c r="I6" s="211"/>
      <c r="J6" s="212">
        <v>46140</v>
      </c>
      <c r="K6" s="213" t="s">
        <v>57</v>
      </c>
      <c r="L6" s="214" t="s">
        <v>58</v>
      </c>
      <c r="M6" s="215">
        <v>1240</v>
      </c>
      <c r="N6" s="216"/>
      <c r="O6" s="216"/>
      <c r="P6" s="216"/>
      <c r="Q6" s="217"/>
      <c r="R6" s="217"/>
      <c r="S6" s="218"/>
      <c r="T6" s="219"/>
      <c r="U6" s="219"/>
      <c r="V6" s="219"/>
      <c r="W6" s="219"/>
      <c r="X6" s="219"/>
      <c r="Y6" s="219"/>
      <c r="Z6" s="219"/>
      <c r="AA6" s="219"/>
      <c r="AB6" s="210"/>
      <c r="AC6" s="220"/>
      <c r="AD6" s="221"/>
      <c r="AE6" s="221"/>
      <c r="AF6" s="222"/>
      <c r="AG6" s="220"/>
      <c r="AH6" s="220"/>
      <c r="AI6" s="220"/>
      <c r="AJ6" s="220"/>
      <c r="AK6" s="223"/>
      <c r="AL6" s="220"/>
      <c r="AM6" s="221"/>
      <c r="AN6" s="224"/>
      <c r="AO6" s="219"/>
      <c r="AP6" s="219"/>
      <c r="AQ6" s="219"/>
    </row>
  </sheetData>
  <autoFilter xmlns:etc="http://www.wps.cn/officeDocument/2017/etCustomData" ref="B5:AQ6" etc:filterBottomFollowUsedRange="0">
    <extLst/>
  </autoFilter>
  <mergeCells count="28">
    <mergeCell ref="B1:T1"/>
    <mergeCell ref="AN1:AQ1"/>
    <mergeCell ref="B3:H3"/>
    <mergeCell ref="I3:T3"/>
    <mergeCell ref="U3:AA3"/>
    <mergeCell ref="AB3:AM3"/>
    <mergeCell ref="AN3:AQ3"/>
    <mergeCell ref="M4:R4"/>
    <mergeCell ref="S4:T4"/>
    <mergeCell ref="Y4:AA4"/>
    <mergeCell ref="AB4:AE4"/>
    <mergeCell ref="AF4:AM4"/>
    <mergeCell ref="AN4:AQ4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U4:U5"/>
    <mergeCell ref="V4:V5"/>
    <mergeCell ref="W4:W5"/>
    <mergeCell ref="X4:X5"/>
  </mergeCells>
  <conditionalFormatting sqref="K6">
    <cfRule type="duplicateValues" dxfId="0" priority="3"/>
  </conditionalFormatting>
  <dataValidations count="1">
    <dataValidation type="list" allowBlank="1" showInputMessage="1" showErrorMessage="1" sqref="H6">
      <formula1>"SOR,ECR"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72"/>
  <sheetViews>
    <sheetView zoomScale="85" zoomScaleNormal="85" workbookViewId="0">
      <pane xSplit="7" ySplit="4" topLeftCell="H11" activePane="bottomRight" state="frozen"/>
      <selection/>
      <selection pane="topRight"/>
      <selection pane="bottomLeft"/>
      <selection pane="bottomRight" activeCell="F3" sqref="F3:F4"/>
    </sheetView>
  </sheetViews>
  <sheetFormatPr defaultColWidth="9" defaultRowHeight="13.85"/>
  <cols>
    <col min="1" max="1" width="4.33628318584071" style="69" customWidth="1"/>
    <col min="2" max="2" width="11.5044247787611" style="69" customWidth="1"/>
    <col min="3" max="3" width="12.0796460176991" style="69" customWidth="1"/>
    <col min="4" max="4" width="16.0796460176991" style="69" customWidth="1"/>
    <col min="5" max="5" width="13.5044247787611" style="69" customWidth="1"/>
    <col min="6" max="6" width="12.5044247787611" style="69" customWidth="1"/>
    <col min="7" max="7" width="9.07964601769912" style="69" customWidth="1" outlineLevel="1"/>
    <col min="8" max="8" width="30.2477876106195" style="70" customWidth="1"/>
    <col min="9" max="9" width="38.8318584070796" style="70" customWidth="1"/>
    <col min="10" max="10" width="7.50442477876106" style="71" customWidth="1"/>
    <col min="11" max="11" width="11.5840707964602" style="71" customWidth="1"/>
    <col min="12" max="12" width="14.5044247787611" style="72" customWidth="1"/>
    <col min="13" max="13" width="12.0796460176991" style="72" customWidth="1"/>
    <col min="14" max="16" width="12.0796460176991" style="70" customWidth="1"/>
    <col min="17" max="19" width="9.33628318584071" style="72" customWidth="1" outlineLevel="1"/>
    <col min="20" max="20" width="11.3362831858407" style="73" customWidth="1"/>
    <col min="21" max="21" width="49" style="74" customWidth="1"/>
    <col min="22" max="16384" width="9" style="75"/>
  </cols>
  <sheetData>
    <row r="1" s="68" customFormat="1" ht="14.6" spans="1:21">
      <c r="H1" s="76"/>
      <c r="I1" s="76"/>
      <c r="J1" s="77"/>
      <c r="K1" s="78">
        <f>SUBTOTAL(9,K5:K1422)</f>
        <v>469</v>
      </c>
      <c r="L1" s="78">
        <f t="shared" ref="L1:P1" si="0">SUBTOTAL(9,L5:L1422)</f>
        <v>255</v>
      </c>
      <c r="M1" s="79">
        <f t="shared" si="0"/>
        <v>18214.6115032475</v>
      </c>
      <c r="N1" s="79">
        <f t="shared" si="0"/>
        <v>8423.07121116023</v>
      </c>
      <c r="O1" s="79">
        <f t="shared" si="0"/>
        <v>265</v>
      </c>
      <c r="P1" s="79">
        <f t="shared" si="0"/>
        <v>10</v>
      </c>
      <c r="Q1" s="80"/>
      <c r="R1" s="80"/>
      <c r="S1" s="80"/>
      <c r="T1" s="81"/>
      <c r="U1" s="82"/>
    </row>
    <row r="2" ht="16.85" spans="1:21">
      <c r="A2" s="83" t="s">
        <v>59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5"/>
    </row>
    <row r="3" ht="16.85" spans="1:21">
      <c r="A3" s="69" t="s">
        <v>60</v>
      </c>
      <c r="B3" s="69" t="s">
        <v>61</v>
      </c>
      <c r="C3" s="69" t="s">
        <v>62</v>
      </c>
      <c r="D3" s="69" t="s">
        <v>63</v>
      </c>
      <c r="E3" s="69" t="s">
        <v>64</v>
      </c>
      <c r="F3" s="69" t="s">
        <v>65</v>
      </c>
      <c r="G3" s="69" t="s">
        <v>13</v>
      </c>
      <c r="H3" s="86" t="s">
        <v>66</v>
      </c>
      <c r="I3" s="87"/>
      <c r="J3" s="87"/>
      <c r="K3" s="87"/>
      <c r="L3" s="87"/>
      <c r="M3" s="87"/>
      <c r="N3" s="87"/>
      <c r="O3" s="87"/>
      <c r="P3" s="88"/>
      <c r="Q3" s="72" t="s">
        <v>67</v>
      </c>
      <c r="T3" s="89" t="s">
        <v>68</v>
      </c>
      <c r="U3" s="74" t="s">
        <v>69</v>
      </c>
    </row>
    <row r="4" ht="44.65" spans="1:21">
      <c r="H4" s="90" t="s">
        <v>70</v>
      </c>
      <c r="I4" s="90" t="s">
        <v>71</v>
      </c>
      <c r="J4" s="91" t="s">
        <v>72</v>
      </c>
      <c r="K4" s="92" t="s">
        <v>73</v>
      </c>
      <c r="L4" s="93" t="s">
        <v>74</v>
      </c>
      <c r="M4" s="93" t="s">
        <v>75</v>
      </c>
      <c r="N4" s="93" t="s">
        <v>76</v>
      </c>
      <c r="O4" s="93" t="s">
        <v>77</v>
      </c>
      <c r="P4" s="93" t="s">
        <v>78</v>
      </c>
      <c r="Q4" s="94" t="s">
        <v>79</v>
      </c>
      <c r="R4" s="95" t="s">
        <v>80</v>
      </c>
      <c r="S4" s="95" t="s">
        <v>81</v>
      </c>
      <c r="T4" s="96"/>
    </row>
    <row r="5" ht="13.9" spans="1:21">
      <c r="A5" s="69">
        <f t="shared" ref="A5:A68" si="1">ROW()-4</f>
        <v>1</v>
      </c>
      <c r="B5" s="97" t="s">
        <v>82</v>
      </c>
      <c r="C5" s="98" t="s">
        <v>83</v>
      </c>
      <c r="D5" s="69" t="s">
        <v>84</v>
      </c>
      <c r="E5" s="99" t="s">
        <v>85</v>
      </c>
      <c r="F5" s="69" t="s">
        <v>86</v>
      </c>
      <c r="G5" s="69" t="s">
        <v>87</v>
      </c>
      <c r="H5" s="70" t="s">
        <v>88</v>
      </c>
      <c r="I5" s="70" t="s">
        <v>89</v>
      </c>
      <c r="J5" s="100" t="s">
        <v>90</v>
      </c>
      <c r="K5" s="100">
        <v>1</v>
      </c>
      <c r="L5" s="100">
        <v>1</v>
      </c>
      <c r="M5" s="101">
        <v>12.56</v>
      </c>
      <c r="N5" s="101">
        <v>12.56</v>
      </c>
      <c r="O5" s="100">
        <v>0</v>
      </c>
      <c r="P5" s="100">
        <v>0</v>
      </c>
      <c r="R5" s="102" t="s">
        <v>91</v>
      </c>
    </row>
    <row r="6" ht="13.9" spans="1:21">
      <c r="A6" s="69">
        <f t="shared" si="1"/>
        <v>2</v>
      </c>
      <c r="B6" s="97" t="s">
        <v>82</v>
      </c>
      <c r="C6" s="98" t="s">
        <v>83</v>
      </c>
      <c r="D6" s="69" t="s">
        <v>84</v>
      </c>
      <c r="E6" s="99" t="s">
        <v>85</v>
      </c>
      <c r="F6" s="69" t="s">
        <v>86</v>
      </c>
      <c r="G6" s="69" t="s">
        <v>87</v>
      </c>
      <c r="H6" s="70" t="s">
        <v>92</v>
      </c>
      <c r="I6" s="70" t="s">
        <v>93</v>
      </c>
      <c r="J6" s="100" t="s">
        <v>90</v>
      </c>
      <c r="K6" s="100">
        <v>1</v>
      </c>
      <c r="L6" s="100">
        <v>1</v>
      </c>
      <c r="M6" s="103"/>
      <c r="N6" s="103"/>
      <c r="O6" s="100">
        <v>0</v>
      </c>
      <c r="P6" s="100">
        <v>0</v>
      </c>
      <c r="R6" s="102" t="s">
        <v>91</v>
      </c>
    </row>
    <row r="7" ht="13.9" spans="1:21">
      <c r="A7" s="69">
        <f t="shared" si="1"/>
        <v>3</v>
      </c>
      <c r="B7" s="97" t="s">
        <v>82</v>
      </c>
      <c r="C7" s="98" t="s">
        <v>83</v>
      </c>
      <c r="D7" s="69" t="s">
        <v>84</v>
      </c>
      <c r="E7" s="99" t="s">
        <v>85</v>
      </c>
      <c r="F7" s="69" t="s">
        <v>86</v>
      </c>
      <c r="G7" s="69" t="s">
        <v>87</v>
      </c>
      <c r="H7" s="70" t="s">
        <v>94</v>
      </c>
      <c r="I7" s="70" t="s">
        <v>95</v>
      </c>
      <c r="J7" s="100" t="s">
        <v>90</v>
      </c>
      <c r="K7" s="100">
        <v>1</v>
      </c>
      <c r="L7" s="100">
        <v>1</v>
      </c>
      <c r="M7" s="104"/>
      <c r="N7" s="104"/>
      <c r="O7" s="100">
        <v>0</v>
      </c>
      <c r="P7" s="100">
        <v>0</v>
      </c>
      <c r="R7" s="102" t="s">
        <v>91</v>
      </c>
    </row>
    <row r="8" ht="16.5" customHeight="1" spans="1:21">
      <c r="A8" s="69">
        <f t="shared" si="1"/>
        <v>4</v>
      </c>
      <c r="B8" s="97" t="s">
        <v>82</v>
      </c>
      <c r="C8" s="98" t="s">
        <v>83</v>
      </c>
      <c r="D8" s="69" t="s">
        <v>84</v>
      </c>
      <c r="E8" s="99" t="s">
        <v>85</v>
      </c>
      <c r="F8" s="69" t="s">
        <v>86</v>
      </c>
      <c r="G8" s="69" t="s">
        <v>87</v>
      </c>
      <c r="H8" s="70" t="s">
        <v>96</v>
      </c>
      <c r="I8" s="71" t="s">
        <v>97</v>
      </c>
      <c r="J8" s="100" t="s">
        <v>90</v>
      </c>
      <c r="K8" s="100">
        <v>1</v>
      </c>
      <c r="L8" s="100">
        <v>1</v>
      </c>
      <c r="M8" s="100">
        <v>5.33</v>
      </c>
      <c r="N8" s="100">
        <v>5.33</v>
      </c>
      <c r="O8" s="100">
        <v>0</v>
      </c>
      <c r="P8" s="100">
        <v>0</v>
      </c>
      <c r="R8" s="102" t="s">
        <v>91</v>
      </c>
    </row>
    <row r="9" ht="13.9" spans="1:21">
      <c r="A9" s="69">
        <f t="shared" si="1"/>
        <v>5</v>
      </c>
      <c r="B9" s="69" t="s">
        <v>98</v>
      </c>
      <c r="C9" s="98" t="s">
        <v>99</v>
      </c>
      <c r="D9" s="69" t="s">
        <v>100</v>
      </c>
      <c r="E9" s="99" t="s">
        <v>85</v>
      </c>
      <c r="F9" s="69" t="s">
        <v>101</v>
      </c>
      <c r="G9" s="69" t="s">
        <v>102</v>
      </c>
      <c r="H9" s="70" t="s">
        <v>103</v>
      </c>
      <c r="I9" s="70" t="s">
        <v>104</v>
      </c>
      <c r="J9" s="100" t="s">
        <v>90</v>
      </c>
      <c r="K9" s="71">
        <v>1</v>
      </c>
      <c r="L9" s="72">
        <v>1</v>
      </c>
      <c r="M9" s="100">
        <v>3</v>
      </c>
      <c r="N9" s="100">
        <v>3</v>
      </c>
      <c r="O9" s="100">
        <v>0</v>
      </c>
      <c r="P9" s="100">
        <v>0</v>
      </c>
      <c r="R9" s="102" t="s">
        <v>91</v>
      </c>
    </row>
    <row r="10" ht="13.9" spans="1:21">
      <c r="A10" s="69">
        <f t="shared" si="1"/>
        <v>6</v>
      </c>
      <c r="B10" s="69" t="s">
        <v>98</v>
      </c>
      <c r="C10" s="98" t="s">
        <v>99</v>
      </c>
      <c r="D10" s="69" t="s">
        <v>100</v>
      </c>
      <c r="E10" s="99" t="s">
        <v>85</v>
      </c>
      <c r="F10" s="69" t="s">
        <v>101</v>
      </c>
      <c r="G10" s="69" t="s">
        <v>102</v>
      </c>
      <c r="H10" s="70" t="s">
        <v>105</v>
      </c>
      <c r="I10" s="70" t="s">
        <v>106</v>
      </c>
      <c r="J10" s="100" t="s">
        <v>90</v>
      </c>
      <c r="K10" s="71">
        <v>1</v>
      </c>
      <c r="L10" s="72">
        <v>1</v>
      </c>
      <c r="M10" s="100">
        <v>3</v>
      </c>
      <c r="N10" s="100">
        <v>3</v>
      </c>
      <c r="O10" s="100">
        <v>0</v>
      </c>
      <c r="P10" s="100">
        <v>0</v>
      </c>
      <c r="R10" s="102" t="s">
        <v>91</v>
      </c>
    </row>
    <row r="11" ht="16.15" customHeight="1" spans="1:21">
      <c r="A11" s="69">
        <f t="shared" si="1"/>
        <v>7</v>
      </c>
      <c r="B11" s="69" t="s">
        <v>98</v>
      </c>
      <c r="C11" s="98" t="s">
        <v>99</v>
      </c>
      <c r="D11" s="69" t="s">
        <v>100</v>
      </c>
      <c r="E11" s="99" t="s">
        <v>85</v>
      </c>
      <c r="F11" s="69" t="s">
        <v>101</v>
      </c>
      <c r="G11" s="69" t="s">
        <v>102</v>
      </c>
      <c r="H11" s="70" t="s">
        <v>107</v>
      </c>
      <c r="I11" s="70" t="s">
        <v>108</v>
      </c>
      <c r="J11" s="71" t="s">
        <v>109</v>
      </c>
      <c r="K11" s="71">
        <v>1</v>
      </c>
      <c r="L11" s="72">
        <v>0</v>
      </c>
      <c r="M11" s="100">
        <v>5.5</v>
      </c>
      <c r="N11" s="72"/>
      <c r="O11" s="100">
        <v>0</v>
      </c>
      <c r="P11" s="100">
        <v>0</v>
      </c>
      <c r="R11" s="102" t="s">
        <v>91</v>
      </c>
    </row>
    <row r="12" ht="16.15" customHeight="1" spans="1:21">
      <c r="A12" s="69">
        <f t="shared" si="1"/>
        <v>8</v>
      </c>
      <c r="B12" s="69" t="s">
        <v>98</v>
      </c>
      <c r="C12" s="98" t="s">
        <v>99</v>
      </c>
      <c r="D12" s="69" t="s">
        <v>100</v>
      </c>
      <c r="E12" s="99" t="s">
        <v>85</v>
      </c>
      <c r="F12" s="69" t="s">
        <v>101</v>
      </c>
      <c r="G12" s="69" t="s">
        <v>102</v>
      </c>
      <c r="H12" s="70" t="s">
        <v>110</v>
      </c>
      <c r="I12" s="70" t="s">
        <v>111</v>
      </c>
      <c r="J12" s="71" t="s">
        <v>109</v>
      </c>
      <c r="K12" s="71">
        <v>1</v>
      </c>
      <c r="L12" s="72">
        <v>0</v>
      </c>
      <c r="M12" s="100">
        <v>32</v>
      </c>
      <c r="N12" s="72"/>
      <c r="O12" s="100">
        <v>0</v>
      </c>
      <c r="P12" s="100">
        <v>0</v>
      </c>
      <c r="R12" s="102" t="s">
        <v>91</v>
      </c>
    </row>
    <row r="13" ht="13.9" spans="1:21">
      <c r="A13" s="69">
        <f t="shared" si="1"/>
        <v>9</v>
      </c>
      <c r="B13" s="69" t="s">
        <v>98</v>
      </c>
      <c r="C13" s="98" t="s">
        <v>99</v>
      </c>
      <c r="D13" s="69" t="s">
        <v>100</v>
      </c>
      <c r="E13" s="99" t="s">
        <v>85</v>
      </c>
      <c r="F13" s="69" t="s">
        <v>101</v>
      </c>
      <c r="G13" s="69" t="s">
        <v>102</v>
      </c>
      <c r="H13" s="70" t="s">
        <v>112</v>
      </c>
      <c r="I13" s="70" t="s">
        <v>113</v>
      </c>
      <c r="J13" s="71" t="s">
        <v>109</v>
      </c>
      <c r="K13" s="71">
        <v>1</v>
      </c>
      <c r="L13" s="72">
        <v>0</v>
      </c>
      <c r="M13" s="100">
        <v>40</v>
      </c>
      <c r="N13" s="72"/>
      <c r="O13" s="100">
        <v>0</v>
      </c>
      <c r="P13" s="100">
        <v>0</v>
      </c>
      <c r="R13" s="102" t="s">
        <v>91</v>
      </c>
    </row>
    <row r="14" ht="13.9" spans="1:21">
      <c r="A14" s="69">
        <f t="shared" si="1"/>
        <v>10</v>
      </c>
      <c r="B14" s="69" t="s">
        <v>98</v>
      </c>
      <c r="C14" s="98" t="s">
        <v>99</v>
      </c>
      <c r="D14" s="69" t="s">
        <v>100</v>
      </c>
      <c r="E14" s="99" t="s">
        <v>85</v>
      </c>
      <c r="F14" s="69" t="s">
        <v>101</v>
      </c>
      <c r="G14" s="69" t="s">
        <v>102</v>
      </c>
      <c r="H14" s="70" t="s">
        <v>114</v>
      </c>
      <c r="I14" s="70" t="s">
        <v>115</v>
      </c>
      <c r="J14" s="100" t="s">
        <v>90</v>
      </c>
      <c r="K14" s="71">
        <v>1</v>
      </c>
      <c r="L14" s="72">
        <v>1</v>
      </c>
      <c r="M14" s="100">
        <v>16</v>
      </c>
      <c r="N14" s="100">
        <v>16</v>
      </c>
      <c r="O14" s="100">
        <v>0</v>
      </c>
      <c r="P14" s="100">
        <v>0</v>
      </c>
      <c r="R14" s="102" t="s">
        <v>91</v>
      </c>
    </row>
    <row r="15" ht="13.9" spans="1:21">
      <c r="A15" s="69">
        <f t="shared" si="1"/>
        <v>11</v>
      </c>
      <c r="B15" s="69" t="s">
        <v>98</v>
      </c>
      <c r="C15" s="98" t="s">
        <v>99</v>
      </c>
      <c r="D15" s="69" t="s">
        <v>100</v>
      </c>
      <c r="E15" s="99" t="s">
        <v>85</v>
      </c>
      <c r="F15" s="69" t="s">
        <v>101</v>
      </c>
      <c r="G15" s="69" t="s">
        <v>102</v>
      </c>
      <c r="H15" s="70" t="s">
        <v>116</v>
      </c>
      <c r="I15" s="70" t="s">
        <v>117</v>
      </c>
      <c r="J15" s="100" t="s">
        <v>90</v>
      </c>
      <c r="K15" s="71">
        <v>1</v>
      </c>
      <c r="L15" s="72">
        <v>1</v>
      </c>
      <c r="M15" s="100">
        <v>94</v>
      </c>
      <c r="N15" s="100">
        <v>94</v>
      </c>
      <c r="O15" s="100">
        <v>0</v>
      </c>
      <c r="P15" s="100">
        <v>0</v>
      </c>
      <c r="R15" s="102" t="s">
        <v>91</v>
      </c>
    </row>
    <row r="16" ht="13.9" spans="1:21">
      <c r="A16" s="69">
        <f t="shared" si="1"/>
        <v>12</v>
      </c>
      <c r="B16" s="69" t="s">
        <v>98</v>
      </c>
      <c r="C16" s="98" t="s">
        <v>99</v>
      </c>
      <c r="D16" s="69" t="s">
        <v>100</v>
      </c>
      <c r="E16" s="99" t="s">
        <v>85</v>
      </c>
      <c r="F16" s="69" t="s">
        <v>101</v>
      </c>
      <c r="G16" s="69" t="s">
        <v>102</v>
      </c>
      <c r="H16" s="70" t="s">
        <v>118</v>
      </c>
      <c r="I16" s="70" t="s">
        <v>119</v>
      </c>
      <c r="J16" s="100" t="s">
        <v>90</v>
      </c>
      <c r="K16" s="71">
        <v>1</v>
      </c>
      <c r="L16" s="72">
        <v>1</v>
      </c>
      <c r="M16" s="100">
        <v>212</v>
      </c>
      <c r="N16" s="100">
        <v>212</v>
      </c>
      <c r="O16" s="100">
        <v>0</v>
      </c>
      <c r="P16" s="100">
        <v>0</v>
      </c>
      <c r="R16" s="102" t="s">
        <v>91</v>
      </c>
    </row>
    <row r="17" ht="16.15" customHeight="1" spans="1:21">
      <c r="A17" s="69">
        <f t="shared" si="1"/>
        <v>13</v>
      </c>
      <c r="B17" s="69" t="s">
        <v>98</v>
      </c>
      <c r="C17" s="98" t="s">
        <v>99</v>
      </c>
      <c r="D17" s="69" t="s">
        <v>100</v>
      </c>
      <c r="E17" s="99" t="s">
        <v>85</v>
      </c>
      <c r="F17" s="69" t="s">
        <v>101</v>
      </c>
      <c r="G17" s="69" t="s">
        <v>102</v>
      </c>
      <c r="H17" s="70" t="s">
        <v>120</v>
      </c>
      <c r="I17" s="70" t="s">
        <v>121</v>
      </c>
      <c r="J17" s="100" t="s">
        <v>90</v>
      </c>
      <c r="K17" s="71">
        <v>1</v>
      </c>
      <c r="L17" s="72">
        <v>1</v>
      </c>
      <c r="M17" s="100">
        <v>12</v>
      </c>
      <c r="N17" s="100">
        <v>12</v>
      </c>
      <c r="O17" s="100">
        <v>0</v>
      </c>
      <c r="P17" s="100">
        <v>0</v>
      </c>
      <c r="R17" s="102" t="s">
        <v>91</v>
      </c>
    </row>
    <row r="18" ht="13.9" spans="1:21">
      <c r="A18" s="69">
        <f t="shared" si="1"/>
        <v>14</v>
      </c>
      <c r="B18" s="69" t="s">
        <v>98</v>
      </c>
      <c r="C18" s="98" t="s">
        <v>99</v>
      </c>
      <c r="D18" s="69" t="s">
        <v>100</v>
      </c>
      <c r="E18" s="99" t="s">
        <v>85</v>
      </c>
      <c r="F18" s="69" t="s">
        <v>101</v>
      </c>
      <c r="G18" s="69" t="s">
        <v>102</v>
      </c>
      <c r="H18" s="70" t="s">
        <v>122</v>
      </c>
      <c r="I18" s="70" t="s">
        <v>123</v>
      </c>
      <c r="J18" s="100" t="s">
        <v>90</v>
      </c>
      <c r="K18" s="71">
        <v>1</v>
      </c>
      <c r="L18" s="72">
        <v>1</v>
      </c>
      <c r="M18" s="100">
        <v>0</v>
      </c>
      <c r="N18" s="70">
        <v>0</v>
      </c>
      <c r="O18" s="70">
        <v>30</v>
      </c>
      <c r="P18" s="70">
        <v>10</v>
      </c>
      <c r="R18" s="102" t="s">
        <v>91</v>
      </c>
    </row>
    <row r="19" ht="13.9" spans="1:21">
      <c r="A19" s="69">
        <f t="shared" si="1"/>
        <v>15</v>
      </c>
      <c r="B19" s="97" t="s">
        <v>82</v>
      </c>
      <c r="C19" s="69" t="s">
        <v>124</v>
      </c>
      <c r="D19" s="69" t="s">
        <v>125</v>
      </c>
      <c r="E19" s="69" t="s">
        <v>126</v>
      </c>
      <c r="F19" s="69" t="s">
        <v>127</v>
      </c>
      <c r="G19" s="69" t="s">
        <v>128</v>
      </c>
      <c r="H19" s="70" t="s">
        <v>129</v>
      </c>
      <c r="I19" s="70" t="s">
        <v>130</v>
      </c>
      <c r="J19" s="71" t="s">
        <v>109</v>
      </c>
      <c r="K19" s="71">
        <v>1</v>
      </c>
      <c r="L19" s="72">
        <v>0</v>
      </c>
      <c r="M19" s="100">
        <v>5</v>
      </c>
      <c r="N19" s="70">
        <v>0</v>
      </c>
      <c r="O19" s="70">
        <v>0</v>
      </c>
      <c r="P19" s="70">
        <v>0</v>
      </c>
      <c r="R19" s="102" t="s">
        <v>91</v>
      </c>
      <c r="U19" s="74" t="s">
        <v>131</v>
      </c>
    </row>
    <row r="20" ht="16.15" customHeight="1" spans="1:21">
      <c r="A20" s="69">
        <f t="shared" si="1"/>
        <v>16</v>
      </c>
      <c r="B20" s="97" t="s">
        <v>82</v>
      </c>
      <c r="C20" s="69" t="s">
        <v>124</v>
      </c>
      <c r="D20" s="69" t="s">
        <v>125</v>
      </c>
      <c r="E20" s="69" t="s">
        <v>126</v>
      </c>
      <c r="F20" s="69" t="s">
        <v>127</v>
      </c>
      <c r="G20" s="69" t="s">
        <v>128</v>
      </c>
      <c r="H20" s="70" t="s">
        <v>132</v>
      </c>
      <c r="I20" s="70" t="s">
        <v>133</v>
      </c>
      <c r="J20" s="71" t="s">
        <v>109</v>
      </c>
      <c r="K20" s="71">
        <v>1</v>
      </c>
      <c r="L20" s="72">
        <v>0</v>
      </c>
      <c r="M20" s="100">
        <v>1</v>
      </c>
      <c r="N20" s="70">
        <v>0</v>
      </c>
      <c r="O20" s="70">
        <v>0</v>
      </c>
      <c r="P20" s="70">
        <v>0</v>
      </c>
      <c r="R20" s="102" t="s">
        <v>91</v>
      </c>
      <c r="U20" s="105" t="s">
        <v>134</v>
      </c>
    </row>
    <row r="21" ht="16.15" customHeight="1" spans="1:21">
      <c r="A21" s="69">
        <f t="shared" si="1"/>
        <v>17</v>
      </c>
      <c r="B21" s="97" t="s">
        <v>82</v>
      </c>
      <c r="C21" s="69" t="s">
        <v>124</v>
      </c>
      <c r="D21" s="69" t="s">
        <v>125</v>
      </c>
      <c r="E21" s="69" t="s">
        <v>126</v>
      </c>
      <c r="F21" s="69" t="s">
        <v>127</v>
      </c>
      <c r="G21" s="69" t="s">
        <v>128</v>
      </c>
      <c r="H21" s="70" t="s">
        <v>135</v>
      </c>
      <c r="I21" s="70" t="s">
        <v>136</v>
      </c>
      <c r="J21" s="71" t="s">
        <v>109</v>
      </c>
      <c r="K21" s="71">
        <v>1</v>
      </c>
      <c r="L21" s="72">
        <v>0</v>
      </c>
      <c r="M21" s="100">
        <v>1</v>
      </c>
      <c r="N21" s="70">
        <v>0</v>
      </c>
      <c r="O21" s="70">
        <v>0</v>
      </c>
      <c r="P21" s="70">
        <v>0</v>
      </c>
      <c r="R21" s="102" t="s">
        <v>91</v>
      </c>
      <c r="U21" s="105" t="s">
        <v>134</v>
      </c>
    </row>
    <row r="22" ht="13.9" spans="1:21">
      <c r="A22" s="69">
        <f t="shared" si="1"/>
        <v>18</v>
      </c>
      <c r="B22" s="97" t="s">
        <v>82</v>
      </c>
      <c r="C22" s="69" t="s">
        <v>124</v>
      </c>
      <c r="D22" s="69" t="s">
        <v>125</v>
      </c>
      <c r="E22" s="69" t="s">
        <v>126</v>
      </c>
      <c r="F22" s="69" t="s">
        <v>127</v>
      </c>
      <c r="G22" s="69" t="s">
        <v>128</v>
      </c>
      <c r="H22" s="70" t="s">
        <v>137</v>
      </c>
      <c r="I22" s="70" t="s">
        <v>138</v>
      </c>
      <c r="J22" s="71" t="s">
        <v>109</v>
      </c>
      <c r="K22" s="71">
        <v>1</v>
      </c>
      <c r="L22" s="72">
        <v>0</v>
      </c>
      <c r="M22" s="100">
        <v>1.8</v>
      </c>
      <c r="N22" s="70">
        <v>0</v>
      </c>
      <c r="O22" s="70">
        <v>0</v>
      </c>
      <c r="P22" s="70">
        <v>0</v>
      </c>
      <c r="R22" s="102" t="s">
        <v>91</v>
      </c>
      <c r="U22" s="106" t="s">
        <v>139</v>
      </c>
    </row>
    <row r="23" ht="13.9" spans="1:21">
      <c r="A23" s="69">
        <f t="shared" si="1"/>
        <v>19</v>
      </c>
      <c r="B23" s="97" t="s">
        <v>82</v>
      </c>
      <c r="C23" s="69" t="s">
        <v>124</v>
      </c>
      <c r="D23" s="69" t="s">
        <v>125</v>
      </c>
      <c r="E23" s="69" t="s">
        <v>126</v>
      </c>
      <c r="F23" s="69" t="s">
        <v>127</v>
      </c>
      <c r="G23" s="69" t="s">
        <v>128</v>
      </c>
      <c r="H23" s="70" t="s">
        <v>137</v>
      </c>
      <c r="I23" s="70" t="s">
        <v>140</v>
      </c>
      <c r="J23" s="71" t="s">
        <v>109</v>
      </c>
      <c r="K23" s="71">
        <v>1</v>
      </c>
      <c r="L23" s="72">
        <v>0</v>
      </c>
      <c r="M23" s="100">
        <v>1.8</v>
      </c>
      <c r="N23" s="70">
        <v>0</v>
      </c>
      <c r="O23" s="70">
        <v>0</v>
      </c>
      <c r="P23" s="70">
        <v>0</v>
      </c>
      <c r="R23" s="102" t="s">
        <v>91</v>
      </c>
      <c r="U23" s="106" t="s">
        <v>139</v>
      </c>
    </row>
    <row r="24" ht="30" customHeight="1" spans="1:21">
      <c r="A24" s="69">
        <f t="shared" si="1"/>
        <v>20</v>
      </c>
      <c r="B24" s="97" t="s">
        <v>82</v>
      </c>
      <c r="C24" s="69" t="s">
        <v>124</v>
      </c>
      <c r="D24" s="69" t="s">
        <v>125</v>
      </c>
      <c r="E24" s="69" t="s">
        <v>126</v>
      </c>
      <c r="F24" s="69" t="s">
        <v>127</v>
      </c>
      <c r="G24" s="69" t="s">
        <v>128</v>
      </c>
      <c r="H24" s="70" t="s">
        <v>141</v>
      </c>
      <c r="I24" s="70" t="s">
        <v>142</v>
      </c>
      <c r="J24" s="71" t="s">
        <v>143</v>
      </c>
      <c r="K24" s="71">
        <v>1</v>
      </c>
      <c r="L24" s="72">
        <v>1</v>
      </c>
      <c r="M24" s="100">
        <v>64</v>
      </c>
      <c r="N24" s="70">
        <v>50</v>
      </c>
      <c r="O24" s="70">
        <v>0</v>
      </c>
      <c r="P24" s="70">
        <v>0</v>
      </c>
      <c r="R24" s="102" t="s">
        <v>91</v>
      </c>
      <c r="U24" s="105" t="s">
        <v>144</v>
      </c>
    </row>
    <row r="25" ht="13.9" spans="1:21">
      <c r="A25" s="69">
        <f t="shared" si="1"/>
        <v>21</v>
      </c>
      <c r="B25" s="97" t="s">
        <v>82</v>
      </c>
      <c r="C25" s="69" t="s">
        <v>124</v>
      </c>
      <c r="D25" s="69" t="s">
        <v>125</v>
      </c>
      <c r="E25" s="69" t="s">
        <v>126</v>
      </c>
      <c r="F25" s="69" t="s">
        <v>127</v>
      </c>
      <c r="G25" s="69" t="s">
        <v>128</v>
      </c>
      <c r="H25" s="70" t="s">
        <v>145</v>
      </c>
      <c r="I25" s="70" t="s">
        <v>146</v>
      </c>
      <c r="J25" s="71" t="s">
        <v>109</v>
      </c>
      <c r="K25" s="71">
        <v>1</v>
      </c>
      <c r="L25" s="72">
        <v>0</v>
      </c>
      <c r="M25" s="100">
        <v>7</v>
      </c>
      <c r="N25" s="70">
        <v>0</v>
      </c>
      <c r="O25" s="70">
        <v>0</v>
      </c>
      <c r="P25" s="70">
        <v>0</v>
      </c>
      <c r="R25" s="102" t="s">
        <v>91</v>
      </c>
      <c r="U25" s="106" t="s">
        <v>147</v>
      </c>
    </row>
    <row r="26" ht="13.9" spans="1:21">
      <c r="A26" s="69">
        <f t="shared" si="1"/>
        <v>22</v>
      </c>
      <c r="B26" s="69" t="s">
        <v>148</v>
      </c>
      <c r="C26" s="69" t="s">
        <v>149</v>
      </c>
      <c r="D26" s="69" t="s">
        <v>150</v>
      </c>
      <c r="E26" s="69" t="s">
        <v>151</v>
      </c>
      <c r="F26" s="107">
        <v>45660</v>
      </c>
      <c r="G26" s="69" t="s">
        <v>152</v>
      </c>
      <c r="H26" s="70" t="s">
        <v>153</v>
      </c>
      <c r="I26" s="70" t="s">
        <v>154</v>
      </c>
      <c r="J26" s="108" t="s">
        <v>90</v>
      </c>
      <c r="K26" s="71">
        <v>1</v>
      </c>
      <c r="L26" s="71">
        <v>1</v>
      </c>
      <c r="M26" s="72">
        <v>16</v>
      </c>
      <c r="N26" s="72">
        <v>16</v>
      </c>
      <c r="O26" s="70">
        <v>0</v>
      </c>
      <c r="P26" s="70">
        <v>0</v>
      </c>
      <c r="R26" s="72" t="s">
        <v>91</v>
      </c>
      <c r="T26" s="107">
        <v>45294</v>
      </c>
    </row>
    <row r="27" ht="13.9" spans="1:21">
      <c r="A27" s="69">
        <f t="shared" si="1"/>
        <v>23</v>
      </c>
      <c r="B27" s="69" t="s">
        <v>148</v>
      </c>
      <c r="C27" s="69" t="s">
        <v>149</v>
      </c>
      <c r="D27" s="69" t="s">
        <v>150</v>
      </c>
      <c r="E27" s="69" t="s">
        <v>151</v>
      </c>
      <c r="F27" s="107">
        <v>45660</v>
      </c>
      <c r="G27" s="69" t="s">
        <v>152</v>
      </c>
      <c r="H27" s="70" t="s">
        <v>153</v>
      </c>
      <c r="I27" s="70" t="s">
        <v>154</v>
      </c>
      <c r="J27" s="108" t="s">
        <v>90</v>
      </c>
      <c r="K27" s="71">
        <v>1</v>
      </c>
      <c r="L27" s="71">
        <v>1</v>
      </c>
      <c r="M27" s="72">
        <v>16</v>
      </c>
      <c r="N27" s="72">
        <v>16</v>
      </c>
      <c r="O27" s="70">
        <v>0</v>
      </c>
      <c r="P27" s="70">
        <v>0</v>
      </c>
      <c r="R27" s="72" t="s">
        <v>91</v>
      </c>
      <c r="T27" s="107">
        <v>45294</v>
      </c>
    </row>
    <row r="28" ht="13.9" spans="1:21">
      <c r="A28" s="69">
        <f t="shared" si="1"/>
        <v>24</v>
      </c>
      <c r="B28" s="69" t="s">
        <v>148</v>
      </c>
      <c r="C28" s="69" t="s">
        <v>155</v>
      </c>
      <c r="D28" s="69" t="s">
        <v>156</v>
      </c>
      <c r="E28" s="69" t="s">
        <v>151</v>
      </c>
      <c r="F28" s="107">
        <v>45660</v>
      </c>
      <c r="G28" s="69" t="s">
        <v>152</v>
      </c>
      <c r="H28" s="70" t="s">
        <v>157</v>
      </c>
      <c r="I28" s="70" t="s">
        <v>158</v>
      </c>
      <c r="J28" s="108" t="s">
        <v>90</v>
      </c>
      <c r="K28" s="71">
        <v>1</v>
      </c>
      <c r="L28" s="71">
        <v>1</v>
      </c>
      <c r="M28" s="70">
        <v>2</v>
      </c>
      <c r="N28" s="70">
        <v>2</v>
      </c>
      <c r="O28" s="70">
        <v>0</v>
      </c>
      <c r="P28" s="70">
        <v>0</v>
      </c>
      <c r="R28" s="72" t="s">
        <v>91</v>
      </c>
      <c r="T28" s="107">
        <v>45294</v>
      </c>
    </row>
    <row r="29" ht="13.9" spans="1:21">
      <c r="A29" s="69">
        <f t="shared" si="1"/>
        <v>25</v>
      </c>
      <c r="B29" s="69" t="s">
        <v>148</v>
      </c>
      <c r="C29" s="69" t="s">
        <v>155</v>
      </c>
      <c r="D29" s="69" t="s">
        <v>156</v>
      </c>
      <c r="E29" s="69" t="s">
        <v>151</v>
      </c>
      <c r="F29" s="107">
        <v>45660</v>
      </c>
      <c r="G29" s="69" t="s">
        <v>152</v>
      </c>
      <c r="H29" s="70" t="s">
        <v>159</v>
      </c>
      <c r="I29" s="70" t="s">
        <v>160</v>
      </c>
      <c r="J29" s="108" t="s">
        <v>109</v>
      </c>
      <c r="K29" s="71">
        <v>1</v>
      </c>
      <c r="L29" s="72">
        <v>0</v>
      </c>
      <c r="M29" s="72">
        <v>1</v>
      </c>
      <c r="N29" s="72">
        <v>0</v>
      </c>
      <c r="O29" s="70">
        <v>0</v>
      </c>
      <c r="P29" s="70">
        <v>0</v>
      </c>
      <c r="R29" s="72" t="s">
        <v>91</v>
      </c>
      <c r="U29" s="74" t="s">
        <v>161</v>
      </c>
    </row>
    <row r="30" ht="13.9" spans="1:21">
      <c r="A30" s="69">
        <f t="shared" si="1"/>
        <v>26</v>
      </c>
      <c r="B30" s="69" t="s">
        <v>148</v>
      </c>
      <c r="C30" s="69" t="s">
        <v>162</v>
      </c>
      <c r="D30" s="69" t="s">
        <v>163</v>
      </c>
      <c r="E30" s="69" t="s">
        <v>151</v>
      </c>
      <c r="F30" s="107">
        <v>45660</v>
      </c>
      <c r="G30" s="69" t="s">
        <v>152</v>
      </c>
      <c r="H30" s="70" t="s">
        <v>164</v>
      </c>
      <c r="I30" s="70" t="s">
        <v>165</v>
      </c>
      <c r="J30" s="108" t="s">
        <v>109</v>
      </c>
      <c r="K30" s="71">
        <v>1</v>
      </c>
      <c r="L30" s="72">
        <v>0</v>
      </c>
      <c r="M30" s="72">
        <v>2</v>
      </c>
      <c r="N30" s="72">
        <v>0</v>
      </c>
      <c r="O30" s="70">
        <v>0</v>
      </c>
      <c r="P30" s="70">
        <v>0</v>
      </c>
      <c r="R30" s="72" t="s">
        <v>91</v>
      </c>
      <c r="U30" s="74" t="s">
        <v>161</v>
      </c>
    </row>
    <row r="31" ht="13.9" spans="1:21">
      <c r="A31" s="69">
        <f t="shared" si="1"/>
        <v>27</v>
      </c>
      <c r="B31" s="69" t="s">
        <v>148</v>
      </c>
      <c r="C31" s="69" t="s">
        <v>162</v>
      </c>
      <c r="D31" s="69" t="s">
        <v>163</v>
      </c>
      <c r="E31" s="69" t="s">
        <v>151</v>
      </c>
      <c r="F31" s="107">
        <v>45660</v>
      </c>
      <c r="G31" s="69" t="s">
        <v>152</v>
      </c>
      <c r="H31" s="70" t="s">
        <v>164</v>
      </c>
      <c r="I31" s="70" t="s">
        <v>165</v>
      </c>
      <c r="J31" s="108" t="s">
        <v>109</v>
      </c>
      <c r="K31" s="71">
        <v>1</v>
      </c>
      <c r="L31" s="72">
        <v>0</v>
      </c>
      <c r="M31" s="72">
        <v>2</v>
      </c>
      <c r="N31" s="72">
        <v>0</v>
      </c>
      <c r="O31" s="70">
        <v>0</v>
      </c>
      <c r="P31" s="70">
        <v>0</v>
      </c>
      <c r="R31" s="72" t="s">
        <v>91</v>
      </c>
      <c r="U31" s="74" t="s">
        <v>161</v>
      </c>
    </row>
    <row r="32" ht="13.9" spans="1:21">
      <c r="A32" s="69">
        <f t="shared" si="1"/>
        <v>28</v>
      </c>
      <c r="B32" s="69" t="s">
        <v>148</v>
      </c>
      <c r="C32" s="69" t="s">
        <v>166</v>
      </c>
      <c r="D32" s="69" t="s">
        <v>167</v>
      </c>
      <c r="E32" s="69" t="s">
        <v>151</v>
      </c>
      <c r="F32" s="107">
        <v>45660</v>
      </c>
      <c r="G32" s="69" t="s">
        <v>152</v>
      </c>
      <c r="H32" s="70" t="s">
        <v>168</v>
      </c>
      <c r="I32" s="70" t="s">
        <v>169</v>
      </c>
      <c r="J32" s="108" t="s">
        <v>90</v>
      </c>
      <c r="K32" s="71">
        <v>1</v>
      </c>
      <c r="L32" s="71">
        <v>1</v>
      </c>
      <c r="M32" s="70">
        <v>36</v>
      </c>
      <c r="N32" s="70">
        <v>36</v>
      </c>
      <c r="O32" s="70">
        <v>0</v>
      </c>
      <c r="P32" s="70">
        <v>0</v>
      </c>
      <c r="R32" s="72" t="s">
        <v>91</v>
      </c>
      <c r="T32" s="107">
        <v>45294</v>
      </c>
    </row>
    <row r="33" ht="13.9" spans="1:21">
      <c r="A33" s="69">
        <f t="shared" si="1"/>
        <v>29</v>
      </c>
      <c r="B33" s="69" t="s">
        <v>148</v>
      </c>
      <c r="C33" s="69" t="s">
        <v>170</v>
      </c>
      <c r="D33" s="69" t="s">
        <v>171</v>
      </c>
      <c r="E33" s="69" t="s">
        <v>151</v>
      </c>
      <c r="F33" s="107">
        <v>45660</v>
      </c>
      <c r="G33" s="69" t="s">
        <v>152</v>
      </c>
      <c r="H33" s="70" t="s">
        <v>172</v>
      </c>
      <c r="I33" s="70" t="s">
        <v>173</v>
      </c>
      <c r="J33" s="108" t="s">
        <v>90</v>
      </c>
      <c r="K33" s="71">
        <v>1</v>
      </c>
      <c r="L33" s="71">
        <v>1</v>
      </c>
      <c r="M33" s="70">
        <v>1</v>
      </c>
      <c r="N33" s="70">
        <v>1</v>
      </c>
      <c r="O33" s="70">
        <v>0</v>
      </c>
      <c r="P33" s="70">
        <v>0</v>
      </c>
      <c r="R33" s="72" t="s">
        <v>91</v>
      </c>
      <c r="T33" s="107">
        <v>45294</v>
      </c>
    </row>
    <row r="34" ht="13.9" spans="1:21">
      <c r="A34" s="69">
        <f t="shared" si="1"/>
        <v>30</v>
      </c>
      <c r="B34" s="69" t="s">
        <v>148</v>
      </c>
      <c r="C34" s="69" t="s">
        <v>174</v>
      </c>
      <c r="D34" s="69" t="s">
        <v>171</v>
      </c>
      <c r="E34" s="69" t="s">
        <v>151</v>
      </c>
      <c r="F34" s="107">
        <v>45660</v>
      </c>
      <c r="G34" s="69" t="s">
        <v>152</v>
      </c>
      <c r="H34" s="70" t="s">
        <v>175</v>
      </c>
      <c r="I34" s="70" t="s">
        <v>176</v>
      </c>
      <c r="J34" s="108" t="s">
        <v>90</v>
      </c>
      <c r="K34" s="71">
        <v>1</v>
      </c>
      <c r="L34" s="71">
        <v>1</v>
      </c>
      <c r="M34" s="70">
        <v>1</v>
      </c>
      <c r="N34" s="70">
        <v>1</v>
      </c>
      <c r="O34" s="70">
        <v>0</v>
      </c>
      <c r="P34" s="70">
        <v>0</v>
      </c>
      <c r="R34" s="72" t="s">
        <v>91</v>
      </c>
      <c r="T34" s="107">
        <v>45294</v>
      </c>
    </row>
    <row r="35" ht="13.9" spans="1:21">
      <c r="A35" s="69">
        <f t="shared" si="1"/>
        <v>31</v>
      </c>
      <c r="B35" s="69" t="s">
        <v>148</v>
      </c>
      <c r="C35" s="69" t="s">
        <v>177</v>
      </c>
      <c r="D35" s="69" t="s">
        <v>178</v>
      </c>
      <c r="E35" s="69" t="s">
        <v>151</v>
      </c>
      <c r="F35" s="107">
        <v>45660</v>
      </c>
      <c r="G35" s="69" t="s">
        <v>152</v>
      </c>
      <c r="H35" s="70" t="s">
        <v>179</v>
      </c>
      <c r="I35" s="70" t="s">
        <v>176</v>
      </c>
      <c r="J35" s="108" t="s">
        <v>90</v>
      </c>
      <c r="K35" s="71">
        <v>1</v>
      </c>
      <c r="L35" s="71">
        <v>1</v>
      </c>
      <c r="M35" s="70">
        <v>1</v>
      </c>
      <c r="N35" s="70">
        <v>1</v>
      </c>
      <c r="O35" s="70">
        <v>0</v>
      </c>
      <c r="P35" s="70">
        <v>0</v>
      </c>
      <c r="R35" s="72" t="s">
        <v>91</v>
      </c>
      <c r="T35" s="107">
        <v>45294</v>
      </c>
    </row>
    <row r="36" ht="13.9" spans="1:21">
      <c r="A36" s="69">
        <f t="shared" si="1"/>
        <v>32</v>
      </c>
      <c r="B36" s="69" t="s">
        <v>148</v>
      </c>
      <c r="C36" s="69" t="s">
        <v>180</v>
      </c>
      <c r="D36" s="69" t="s">
        <v>181</v>
      </c>
      <c r="E36" s="69" t="s">
        <v>151</v>
      </c>
      <c r="F36" s="107">
        <v>45660</v>
      </c>
      <c r="G36" s="69" t="s">
        <v>152</v>
      </c>
      <c r="H36" s="70" t="s">
        <v>182</v>
      </c>
      <c r="I36" s="70" t="s">
        <v>183</v>
      </c>
      <c r="J36" s="108" t="s">
        <v>90</v>
      </c>
      <c r="K36" s="71">
        <v>1</v>
      </c>
      <c r="L36" s="71">
        <v>1</v>
      </c>
      <c r="M36" s="70">
        <v>91</v>
      </c>
      <c r="N36" s="70">
        <v>91</v>
      </c>
      <c r="O36" s="70">
        <v>0</v>
      </c>
      <c r="P36" s="70">
        <v>0</v>
      </c>
      <c r="R36" s="72" t="s">
        <v>91</v>
      </c>
      <c r="T36" s="107">
        <v>45294</v>
      </c>
    </row>
    <row r="37" ht="13.9" spans="1:21">
      <c r="A37" s="69">
        <f t="shared" si="1"/>
        <v>33</v>
      </c>
      <c r="B37" s="69" t="s">
        <v>148</v>
      </c>
      <c r="C37" s="69" t="s">
        <v>180</v>
      </c>
      <c r="D37" s="69" t="s">
        <v>181</v>
      </c>
      <c r="E37" s="69" t="s">
        <v>151</v>
      </c>
      <c r="F37" s="107">
        <v>45660</v>
      </c>
      <c r="G37" s="69" t="s">
        <v>152</v>
      </c>
      <c r="H37" s="70" t="s">
        <v>184</v>
      </c>
      <c r="I37" s="70" t="s">
        <v>185</v>
      </c>
      <c r="J37" s="108" t="s">
        <v>90</v>
      </c>
      <c r="K37" s="71">
        <v>1</v>
      </c>
      <c r="L37" s="71">
        <v>1</v>
      </c>
      <c r="M37" s="70">
        <v>1.6</v>
      </c>
      <c r="N37" s="70">
        <v>1.6</v>
      </c>
      <c r="O37" s="70">
        <v>0</v>
      </c>
      <c r="P37" s="70">
        <v>0</v>
      </c>
      <c r="R37" s="72" t="s">
        <v>91</v>
      </c>
      <c r="T37" s="107">
        <v>45294</v>
      </c>
    </row>
    <row r="38" ht="13.9" spans="1:21">
      <c r="A38" s="69">
        <f t="shared" si="1"/>
        <v>34</v>
      </c>
      <c r="B38" s="69" t="s">
        <v>148</v>
      </c>
      <c r="C38" s="69" t="s">
        <v>180</v>
      </c>
      <c r="D38" s="69" t="s">
        <v>181</v>
      </c>
      <c r="E38" s="69" t="s">
        <v>151</v>
      </c>
      <c r="F38" s="107">
        <v>45660</v>
      </c>
      <c r="G38" s="69" t="s">
        <v>152</v>
      </c>
      <c r="H38" s="70" t="s">
        <v>186</v>
      </c>
      <c r="I38" s="70" t="s">
        <v>187</v>
      </c>
      <c r="J38" s="108" t="s">
        <v>90</v>
      </c>
      <c r="K38" s="71">
        <v>1</v>
      </c>
      <c r="L38" s="71">
        <v>1</v>
      </c>
      <c r="M38" s="70">
        <v>2.3</v>
      </c>
      <c r="N38" s="70">
        <v>2.3</v>
      </c>
      <c r="O38" s="70">
        <v>0</v>
      </c>
      <c r="P38" s="70">
        <v>0</v>
      </c>
      <c r="R38" s="72" t="s">
        <v>91</v>
      </c>
      <c r="T38" s="107">
        <v>45294</v>
      </c>
    </row>
    <row r="39" ht="13.9" spans="1:21">
      <c r="A39" s="69">
        <f t="shared" si="1"/>
        <v>35</v>
      </c>
      <c r="B39" s="69" t="s">
        <v>148</v>
      </c>
      <c r="C39" s="69" t="s">
        <v>180</v>
      </c>
      <c r="D39" s="69" t="s">
        <v>181</v>
      </c>
      <c r="E39" s="69" t="s">
        <v>151</v>
      </c>
      <c r="F39" s="107">
        <v>45660</v>
      </c>
      <c r="G39" s="69" t="s">
        <v>152</v>
      </c>
      <c r="H39" s="70" t="s">
        <v>188</v>
      </c>
      <c r="I39" s="70" t="s">
        <v>189</v>
      </c>
      <c r="J39" s="108" t="s">
        <v>90</v>
      </c>
      <c r="K39" s="71">
        <v>1</v>
      </c>
      <c r="L39" s="71">
        <v>1</v>
      </c>
      <c r="M39" s="70">
        <v>18.94</v>
      </c>
      <c r="N39" s="70">
        <v>18.94</v>
      </c>
      <c r="O39" s="70">
        <v>0</v>
      </c>
      <c r="P39" s="70">
        <v>0</v>
      </c>
      <c r="R39" s="72" t="s">
        <v>91</v>
      </c>
      <c r="T39" s="107">
        <v>45294</v>
      </c>
    </row>
    <row r="40" ht="13.9" spans="1:21">
      <c r="A40" s="69">
        <f t="shared" si="1"/>
        <v>36</v>
      </c>
      <c r="B40" s="69" t="s">
        <v>148</v>
      </c>
      <c r="C40" s="69" t="s">
        <v>180</v>
      </c>
      <c r="D40" s="69" t="s">
        <v>181</v>
      </c>
      <c r="E40" s="69" t="s">
        <v>151</v>
      </c>
      <c r="F40" s="107">
        <v>45660</v>
      </c>
      <c r="G40" s="69" t="s">
        <v>152</v>
      </c>
      <c r="H40" s="70" t="s">
        <v>190</v>
      </c>
      <c r="I40" s="70" t="s">
        <v>191</v>
      </c>
      <c r="J40" s="108" t="s">
        <v>90</v>
      </c>
      <c r="K40" s="71">
        <v>1</v>
      </c>
      <c r="L40" s="71">
        <v>1</v>
      </c>
      <c r="M40" s="70">
        <v>19.46</v>
      </c>
      <c r="N40" s="70">
        <v>19.46</v>
      </c>
      <c r="O40" s="70">
        <v>0</v>
      </c>
      <c r="P40" s="70">
        <v>0</v>
      </c>
      <c r="R40" s="72" t="s">
        <v>91</v>
      </c>
      <c r="T40" s="107">
        <v>45294</v>
      </c>
    </row>
    <row r="41" ht="13.9" spans="1:21">
      <c r="A41" s="69">
        <f t="shared" si="1"/>
        <v>37</v>
      </c>
      <c r="B41" s="69" t="s">
        <v>148</v>
      </c>
      <c r="C41" s="69" t="s">
        <v>180</v>
      </c>
      <c r="D41" s="69" t="s">
        <v>181</v>
      </c>
      <c r="E41" s="69" t="s">
        <v>151</v>
      </c>
      <c r="F41" s="107">
        <v>45660</v>
      </c>
      <c r="G41" s="69" t="s">
        <v>152</v>
      </c>
      <c r="H41" s="70" t="s">
        <v>192</v>
      </c>
      <c r="I41" s="70" t="s">
        <v>193</v>
      </c>
      <c r="J41" s="108" t="s">
        <v>90</v>
      </c>
      <c r="K41" s="71">
        <v>1</v>
      </c>
      <c r="L41" s="71">
        <v>1</v>
      </c>
      <c r="M41" s="70">
        <v>2.88</v>
      </c>
      <c r="N41" s="70">
        <v>2.88</v>
      </c>
      <c r="O41" s="70">
        <v>0</v>
      </c>
      <c r="P41" s="70">
        <v>0</v>
      </c>
      <c r="R41" s="72" t="s">
        <v>91</v>
      </c>
      <c r="T41" s="107">
        <v>45294</v>
      </c>
    </row>
    <row r="42" ht="13.9" spans="1:21">
      <c r="A42" s="69">
        <f t="shared" si="1"/>
        <v>38</v>
      </c>
      <c r="B42" s="69" t="s">
        <v>148</v>
      </c>
      <c r="C42" s="69" t="s">
        <v>180</v>
      </c>
      <c r="D42" s="69" t="s">
        <v>181</v>
      </c>
      <c r="E42" s="69" t="s">
        <v>151</v>
      </c>
      <c r="F42" s="107">
        <v>45660</v>
      </c>
      <c r="G42" s="69" t="s">
        <v>152</v>
      </c>
      <c r="H42" s="70" t="s">
        <v>194</v>
      </c>
      <c r="I42" s="70" t="s">
        <v>195</v>
      </c>
      <c r="J42" s="108" t="s">
        <v>90</v>
      </c>
      <c r="K42" s="71">
        <v>1</v>
      </c>
      <c r="L42" s="71">
        <v>1</v>
      </c>
      <c r="M42" s="70">
        <v>2.16</v>
      </c>
      <c r="N42" s="70">
        <v>2.16</v>
      </c>
      <c r="O42" s="70">
        <v>0</v>
      </c>
      <c r="P42" s="70">
        <v>0</v>
      </c>
      <c r="R42" s="72" t="s">
        <v>91</v>
      </c>
      <c r="T42" s="107">
        <v>45294</v>
      </c>
    </row>
    <row r="43" ht="13.9" spans="1:21">
      <c r="A43" s="69">
        <f t="shared" si="1"/>
        <v>39</v>
      </c>
      <c r="B43" s="69" t="s">
        <v>148</v>
      </c>
      <c r="C43" s="69" t="s">
        <v>196</v>
      </c>
      <c r="D43" s="69" t="s">
        <v>197</v>
      </c>
      <c r="E43" s="69" t="s">
        <v>151</v>
      </c>
      <c r="F43" s="107">
        <v>45660</v>
      </c>
      <c r="G43" s="69" t="s">
        <v>152</v>
      </c>
      <c r="H43" s="70" t="s">
        <v>198</v>
      </c>
      <c r="I43" s="70" t="s">
        <v>199</v>
      </c>
      <c r="J43" s="108" t="s">
        <v>90</v>
      </c>
      <c r="K43" s="71">
        <v>1</v>
      </c>
      <c r="L43" s="71">
        <v>1</v>
      </c>
      <c r="M43" s="72">
        <v>4</v>
      </c>
      <c r="N43" s="72">
        <v>4</v>
      </c>
      <c r="O43" s="70">
        <v>0</v>
      </c>
      <c r="P43" s="70">
        <v>0</v>
      </c>
      <c r="R43" s="72" t="s">
        <v>91</v>
      </c>
      <c r="T43" s="107">
        <v>45294</v>
      </c>
      <c r="U43" s="73"/>
    </row>
    <row r="44" ht="13.9" spans="1:21">
      <c r="A44" s="69">
        <f t="shared" si="1"/>
        <v>40</v>
      </c>
      <c r="B44" s="69" t="s">
        <v>148</v>
      </c>
      <c r="C44" s="69" t="s">
        <v>196</v>
      </c>
      <c r="D44" s="69" t="s">
        <v>197</v>
      </c>
      <c r="E44" s="69" t="s">
        <v>151</v>
      </c>
      <c r="F44" s="107">
        <v>45660</v>
      </c>
      <c r="G44" s="69" t="s">
        <v>152</v>
      </c>
      <c r="H44" s="70" t="s">
        <v>200</v>
      </c>
      <c r="I44" s="70" t="s">
        <v>201</v>
      </c>
      <c r="J44" s="108" t="s">
        <v>109</v>
      </c>
      <c r="K44" s="71">
        <v>1</v>
      </c>
      <c r="L44" s="72">
        <v>0</v>
      </c>
      <c r="M44" s="72">
        <v>129</v>
      </c>
      <c r="O44" s="70">
        <v>0</v>
      </c>
      <c r="P44" s="70">
        <v>0</v>
      </c>
      <c r="R44" s="72" t="s">
        <v>91</v>
      </c>
      <c r="U44" s="73" t="s">
        <v>161</v>
      </c>
    </row>
    <row r="45" ht="13.9" spans="1:21">
      <c r="A45" s="69">
        <f t="shared" si="1"/>
        <v>41</v>
      </c>
      <c r="B45" s="69" t="s">
        <v>148</v>
      </c>
      <c r="C45" s="69" t="s">
        <v>196</v>
      </c>
      <c r="D45" s="69" t="s">
        <v>197</v>
      </c>
      <c r="E45" s="69" t="s">
        <v>151</v>
      </c>
      <c r="F45" s="107">
        <v>45660</v>
      </c>
      <c r="G45" s="69" t="s">
        <v>152</v>
      </c>
      <c r="H45" s="70" t="s">
        <v>202</v>
      </c>
      <c r="I45" s="70" t="s">
        <v>203</v>
      </c>
      <c r="J45" s="108" t="s">
        <v>90</v>
      </c>
      <c r="K45" s="71">
        <v>1</v>
      </c>
      <c r="L45" s="71">
        <v>1</v>
      </c>
      <c r="M45" s="72">
        <v>184</v>
      </c>
      <c r="N45" s="72">
        <v>184</v>
      </c>
      <c r="O45" s="70">
        <v>0</v>
      </c>
      <c r="P45" s="70">
        <v>0</v>
      </c>
      <c r="R45" s="72" t="s">
        <v>91</v>
      </c>
      <c r="T45" s="107">
        <v>45294</v>
      </c>
      <c r="U45" s="73"/>
    </row>
    <row r="46" ht="13.9" spans="1:21">
      <c r="A46" s="69">
        <f t="shared" si="1"/>
        <v>42</v>
      </c>
      <c r="B46" s="69" t="s">
        <v>148</v>
      </c>
      <c r="C46" s="69" t="s">
        <v>196</v>
      </c>
      <c r="D46" s="69" t="s">
        <v>197</v>
      </c>
      <c r="E46" s="69" t="s">
        <v>151</v>
      </c>
      <c r="F46" s="107">
        <v>45660</v>
      </c>
      <c r="G46" s="69" t="s">
        <v>152</v>
      </c>
      <c r="H46" s="70" t="s">
        <v>204</v>
      </c>
      <c r="I46" s="70" t="s">
        <v>205</v>
      </c>
      <c r="J46" s="108" t="s">
        <v>90</v>
      </c>
      <c r="K46" s="71">
        <v>1</v>
      </c>
      <c r="L46" s="71">
        <v>1</v>
      </c>
      <c r="M46" s="72">
        <v>56</v>
      </c>
      <c r="N46" s="72">
        <v>56</v>
      </c>
      <c r="O46" s="70">
        <v>0</v>
      </c>
      <c r="P46" s="70">
        <v>0</v>
      </c>
      <c r="R46" s="72" t="s">
        <v>91</v>
      </c>
      <c r="T46" s="107">
        <v>45294</v>
      </c>
      <c r="U46" s="73"/>
    </row>
    <row r="47" ht="13.9" spans="1:21">
      <c r="A47" s="69">
        <f t="shared" si="1"/>
        <v>43</v>
      </c>
      <c r="B47" s="69" t="s">
        <v>148</v>
      </c>
      <c r="C47" s="69" t="s">
        <v>196</v>
      </c>
      <c r="D47" s="69" t="s">
        <v>197</v>
      </c>
      <c r="E47" s="69" t="s">
        <v>151</v>
      </c>
      <c r="F47" s="107">
        <v>45660</v>
      </c>
      <c r="G47" s="69" t="s">
        <v>152</v>
      </c>
      <c r="H47" s="70" t="s">
        <v>206</v>
      </c>
      <c r="I47" s="70" t="s">
        <v>207</v>
      </c>
      <c r="J47" s="108" t="s">
        <v>109</v>
      </c>
      <c r="K47" s="71">
        <v>1</v>
      </c>
      <c r="L47" s="72">
        <v>0</v>
      </c>
      <c r="M47" s="72">
        <v>12</v>
      </c>
      <c r="O47" s="70">
        <v>0</v>
      </c>
      <c r="P47" s="70">
        <v>0</v>
      </c>
      <c r="R47" s="72" t="s">
        <v>91</v>
      </c>
      <c r="U47" s="73" t="s">
        <v>208</v>
      </c>
    </row>
    <row r="48" ht="13.9" spans="1:21">
      <c r="A48" s="69">
        <f t="shared" si="1"/>
        <v>44</v>
      </c>
      <c r="B48" s="69" t="s">
        <v>148</v>
      </c>
      <c r="C48" s="69" t="s">
        <v>196</v>
      </c>
      <c r="D48" s="69" t="s">
        <v>197</v>
      </c>
      <c r="E48" s="69" t="s">
        <v>151</v>
      </c>
      <c r="F48" s="107">
        <v>45660</v>
      </c>
      <c r="G48" s="69" t="s">
        <v>152</v>
      </c>
      <c r="H48" s="70" t="s">
        <v>209</v>
      </c>
      <c r="I48" s="70" t="s">
        <v>210</v>
      </c>
      <c r="J48" s="108" t="s">
        <v>90</v>
      </c>
      <c r="K48" s="71">
        <v>1</v>
      </c>
      <c r="L48" s="71">
        <v>1</v>
      </c>
      <c r="M48" s="72">
        <v>28.5</v>
      </c>
      <c r="N48" s="72">
        <v>28.5</v>
      </c>
      <c r="O48" s="70">
        <v>0</v>
      </c>
      <c r="P48" s="70">
        <v>0</v>
      </c>
      <c r="R48" s="72" t="s">
        <v>91</v>
      </c>
      <c r="T48" s="107">
        <v>45294</v>
      </c>
      <c r="U48" s="73"/>
    </row>
    <row r="49" ht="13.9" spans="1:21">
      <c r="A49" s="69">
        <f t="shared" si="1"/>
        <v>45</v>
      </c>
      <c r="B49" s="69" t="s">
        <v>148</v>
      </c>
      <c r="C49" s="69" t="s">
        <v>196</v>
      </c>
      <c r="D49" s="69" t="s">
        <v>197</v>
      </c>
      <c r="E49" s="69" t="s">
        <v>151</v>
      </c>
      <c r="F49" s="107">
        <v>45660</v>
      </c>
      <c r="G49" s="69" t="s">
        <v>152</v>
      </c>
      <c r="H49" s="70" t="s">
        <v>211</v>
      </c>
      <c r="I49" s="70" t="s">
        <v>212</v>
      </c>
      <c r="J49" s="108" t="s">
        <v>90</v>
      </c>
      <c r="K49" s="71">
        <v>1</v>
      </c>
      <c r="L49" s="71">
        <v>1</v>
      </c>
      <c r="M49" s="72">
        <v>69</v>
      </c>
      <c r="N49" s="72">
        <v>69</v>
      </c>
      <c r="O49" s="70">
        <v>0</v>
      </c>
      <c r="P49" s="70">
        <v>0</v>
      </c>
      <c r="R49" s="72" t="s">
        <v>91</v>
      </c>
      <c r="T49" s="107">
        <v>45294</v>
      </c>
      <c r="U49" s="73"/>
    </row>
    <row r="50" ht="13.9" spans="1:21">
      <c r="A50" s="69">
        <f t="shared" si="1"/>
        <v>46</v>
      </c>
      <c r="B50" s="69" t="s">
        <v>213</v>
      </c>
      <c r="C50" s="69" t="s">
        <v>214</v>
      </c>
      <c r="D50" s="69" t="s">
        <v>215</v>
      </c>
      <c r="E50" s="69" t="s">
        <v>151</v>
      </c>
      <c r="F50" s="107">
        <v>45667</v>
      </c>
      <c r="G50" s="69" t="s">
        <v>152</v>
      </c>
      <c r="H50" s="70" t="s">
        <v>216</v>
      </c>
      <c r="I50" s="70" t="s">
        <v>217</v>
      </c>
      <c r="J50" s="108" t="s">
        <v>90</v>
      </c>
      <c r="K50" s="71">
        <v>1</v>
      </c>
      <c r="L50" s="71">
        <v>1</v>
      </c>
      <c r="M50" s="72">
        <v>4</v>
      </c>
      <c r="N50" s="72">
        <v>4</v>
      </c>
      <c r="O50" s="70">
        <v>0</v>
      </c>
      <c r="P50" s="70">
        <v>0</v>
      </c>
      <c r="R50" s="72" t="s">
        <v>91</v>
      </c>
      <c r="U50" s="74" t="s">
        <v>218</v>
      </c>
    </row>
    <row r="51" ht="13.9" spans="1:21">
      <c r="A51" s="69">
        <f t="shared" si="1"/>
        <v>47</v>
      </c>
      <c r="B51" s="69" t="s">
        <v>213</v>
      </c>
      <c r="C51" s="69" t="s">
        <v>214</v>
      </c>
      <c r="D51" s="69" t="s">
        <v>215</v>
      </c>
      <c r="E51" s="69" t="s">
        <v>151</v>
      </c>
      <c r="F51" s="107">
        <v>45667</v>
      </c>
      <c r="G51" s="69" t="s">
        <v>152</v>
      </c>
      <c r="H51" s="70" t="s">
        <v>219</v>
      </c>
      <c r="I51" s="70" t="s">
        <v>220</v>
      </c>
      <c r="J51" s="108" t="s">
        <v>90</v>
      </c>
      <c r="K51" s="71">
        <v>1</v>
      </c>
      <c r="L51" s="71">
        <v>1</v>
      </c>
      <c r="M51" s="72">
        <v>6.5</v>
      </c>
      <c r="N51" s="72">
        <v>6.5</v>
      </c>
      <c r="O51" s="70">
        <v>0</v>
      </c>
      <c r="P51" s="70">
        <v>0</v>
      </c>
      <c r="R51" s="72" t="s">
        <v>91</v>
      </c>
      <c r="U51" s="74" t="s">
        <v>218</v>
      </c>
    </row>
    <row r="52" ht="13.9" spans="1:21">
      <c r="A52" s="69">
        <f t="shared" si="1"/>
        <v>48</v>
      </c>
      <c r="B52" s="69" t="s">
        <v>213</v>
      </c>
      <c r="C52" s="69" t="s">
        <v>214</v>
      </c>
      <c r="D52" s="69" t="s">
        <v>215</v>
      </c>
      <c r="E52" s="69" t="s">
        <v>151</v>
      </c>
      <c r="F52" s="107">
        <v>45667</v>
      </c>
      <c r="G52" s="69" t="s">
        <v>152</v>
      </c>
      <c r="H52" s="70" t="s">
        <v>221</v>
      </c>
      <c r="I52" s="70" t="s">
        <v>222</v>
      </c>
      <c r="J52" s="108" t="s">
        <v>90</v>
      </c>
      <c r="K52" s="71">
        <v>1</v>
      </c>
      <c r="L52" s="71">
        <v>1</v>
      </c>
      <c r="M52" s="72">
        <v>6.5</v>
      </c>
      <c r="N52" s="72">
        <v>6.5</v>
      </c>
      <c r="O52" s="70">
        <v>0</v>
      </c>
      <c r="P52" s="70">
        <v>0</v>
      </c>
      <c r="R52" s="72" t="s">
        <v>91</v>
      </c>
      <c r="U52" s="74" t="s">
        <v>218</v>
      </c>
    </row>
    <row r="53" ht="13.9" spans="1:21">
      <c r="A53" s="69">
        <f t="shared" si="1"/>
        <v>49</v>
      </c>
      <c r="B53" s="69" t="s">
        <v>213</v>
      </c>
      <c r="C53" s="69" t="s">
        <v>214</v>
      </c>
      <c r="D53" s="69" t="s">
        <v>215</v>
      </c>
      <c r="E53" s="69" t="s">
        <v>151</v>
      </c>
      <c r="F53" s="107">
        <v>45667</v>
      </c>
      <c r="G53" s="69" t="s">
        <v>152</v>
      </c>
      <c r="H53" s="70" t="s">
        <v>223</v>
      </c>
      <c r="I53" s="70" t="s">
        <v>224</v>
      </c>
      <c r="J53" s="108" t="s">
        <v>90</v>
      </c>
      <c r="K53" s="71">
        <v>1</v>
      </c>
      <c r="L53" s="71">
        <v>1</v>
      </c>
      <c r="M53" s="72">
        <v>0.8</v>
      </c>
      <c r="N53" s="72">
        <v>0.8</v>
      </c>
      <c r="O53" s="70">
        <v>0</v>
      </c>
      <c r="P53" s="70">
        <v>0</v>
      </c>
      <c r="R53" s="72" t="s">
        <v>91</v>
      </c>
      <c r="U53" s="74" t="s">
        <v>218</v>
      </c>
    </row>
    <row r="54" ht="13.9" spans="1:21">
      <c r="A54" s="69">
        <f t="shared" si="1"/>
        <v>50</v>
      </c>
      <c r="B54" s="69" t="s">
        <v>213</v>
      </c>
      <c r="C54" s="69" t="s">
        <v>214</v>
      </c>
      <c r="D54" s="69" t="s">
        <v>215</v>
      </c>
      <c r="E54" s="69" t="s">
        <v>151</v>
      </c>
      <c r="F54" s="107">
        <v>45667</v>
      </c>
      <c r="G54" s="69" t="s">
        <v>152</v>
      </c>
      <c r="H54" s="70" t="s">
        <v>225</v>
      </c>
      <c r="I54" s="70" t="s">
        <v>226</v>
      </c>
      <c r="J54" s="108" t="s">
        <v>90</v>
      </c>
      <c r="K54" s="71">
        <v>1</v>
      </c>
      <c r="L54" s="71">
        <v>1</v>
      </c>
      <c r="M54" s="72">
        <v>0.8</v>
      </c>
      <c r="N54" s="72">
        <v>0.8</v>
      </c>
      <c r="O54" s="70">
        <v>0</v>
      </c>
      <c r="P54" s="70">
        <v>0</v>
      </c>
      <c r="R54" s="72" t="s">
        <v>91</v>
      </c>
      <c r="U54" s="74" t="s">
        <v>218</v>
      </c>
    </row>
    <row r="55" ht="13.9" spans="1:21">
      <c r="A55" s="69">
        <f t="shared" si="1"/>
        <v>51</v>
      </c>
      <c r="B55" s="69" t="s">
        <v>213</v>
      </c>
      <c r="C55" s="69" t="s">
        <v>214</v>
      </c>
      <c r="D55" s="69" t="s">
        <v>215</v>
      </c>
      <c r="E55" s="69" t="s">
        <v>151</v>
      </c>
      <c r="F55" s="107">
        <v>45667</v>
      </c>
      <c r="G55" s="69" t="s">
        <v>152</v>
      </c>
      <c r="H55" s="70" t="s">
        <v>227</v>
      </c>
      <c r="I55" s="70" t="s">
        <v>228</v>
      </c>
      <c r="J55" s="108" t="s">
        <v>90</v>
      </c>
      <c r="K55" s="71">
        <v>1</v>
      </c>
      <c r="L55" s="71">
        <v>1</v>
      </c>
      <c r="M55" s="72">
        <v>0.8</v>
      </c>
      <c r="N55" s="72">
        <v>0.8</v>
      </c>
      <c r="O55" s="70">
        <v>0</v>
      </c>
      <c r="P55" s="70">
        <v>0</v>
      </c>
      <c r="R55" s="72" t="s">
        <v>91</v>
      </c>
      <c r="U55" s="74" t="s">
        <v>218</v>
      </c>
    </row>
    <row r="56" ht="13.9" spans="1:21">
      <c r="A56" s="69">
        <f t="shared" si="1"/>
        <v>52</v>
      </c>
      <c r="B56" s="69" t="s">
        <v>213</v>
      </c>
      <c r="C56" s="69" t="s">
        <v>214</v>
      </c>
      <c r="D56" s="69" t="s">
        <v>215</v>
      </c>
      <c r="E56" s="69" t="s">
        <v>151</v>
      </c>
      <c r="F56" s="107">
        <v>45667</v>
      </c>
      <c r="G56" s="69" t="s">
        <v>152</v>
      </c>
      <c r="H56" s="70" t="s">
        <v>229</v>
      </c>
      <c r="I56" s="70" t="s">
        <v>230</v>
      </c>
      <c r="J56" s="108" t="s">
        <v>109</v>
      </c>
      <c r="K56" s="71">
        <v>1</v>
      </c>
      <c r="L56" s="72">
        <v>0</v>
      </c>
      <c r="M56" s="72">
        <v>9.8</v>
      </c>
      <c r="N56" s="72">
        <v>0</v>
      </c>
      <c r="O56" s="70">
        <v>0</v>
      </c>
      <c r="P56" s="70">
        <v>0</v>
      </c>
      <c r="R56" s="72" t="s">
        <v>91</v>
      </c>
      <c r="U56" s="74" t="s">
        <v>231</v>
      </c>
    </row>
    <row r="57" ht="13.9" spans="1:21">
      <c r="A57" s="69">
        <f t="shared" si="1"/>
        <v>53</v>
      </c>
      <c r="B57" s="69" t="s">
        <v>213</v>
      </c>
      <c r="C57" s="69" t="s">
        <v>214</v>
      </c>
      <c r="D57" s="69" t="s">
        <v>215</v>
      </c>
      <c r="E57" s="69" t="s">
        <v>151</v>
      </c>
      <c r="F57" s="107">
        <v>45667</v>
      </c>
      <c r="G57" s="69" t="s">
        <v>152</v>
      </c>
      <c r="H57" s="70" t="s">
        <v>232</v>
      </c>
      <c r="I57" s="70" t="s">
        <v>233</v>
      </c>
      <c r="J57" s="108" t="s">
        <v>109</v>
      </c>
      <c r="K57" s="71">
        <v>1</v>
      </c>
      <c r="L57" s="72">
        <v>0</v>
      </c>
      <c r="M57" s="72">
        <v>12.8</v>
      </c>
      <c r="N57" s="72">
        <v>0</v>
      </c>
      <c r="O57" s="70">
        <v>0</v>
      </c>
      <c r="P57" s="70">
        <v>0</v>
      </c>
      <c r="R57" s="72" t="s">
        <v>91</v>
      </c>
      <c r="U57" s="74" t="s">
        <v>231</v>
      </c>
    </row>
    <row r="58" ht="13.9" spans="1:21">
      <c r="A58" s="69">
        <f t="shared" si="1"/>
        <v>54</v>
      </c>
      <c r="B58" s="69" t="s">
        <v>213</v>
      </c>
      <c r="C58" s="69" t="s">
        <v>214</v>
      </c>
      <c r="D58" s="69" t="s">
        <v>215</v>
      </c>
      <c r="E58" s="69" t="s">
        <v>151</v>
      </c>
      <c r="F58" s="107">
        <v>45667</v>
      </c>
      <c r="G58" s="69" t="s">
        <v>152</v>
      </c>
      <c r="H58" s="70" t="s">
        <v>234</v>
      </c>
      <c r="I58" s="70" t="s">
        <v>235</v>
      </c>
      <c r="J58" s="108" t="s">
        <v>109</v>
      </c>
      <c r="K58" s="71">
        <v>1</v>
      </c>
      <c r="L58" s="72">
        <v>0</v>
      </c>
      <c r="M58" s="72">
        <v>12.8</v>
      </c>
      <c r="N58" s="72">
        <v>0</v>
      </c>
      <c r="O58" s="70">
        <v>0</v>
      </c>
      <c r="P58" s="70">
        <v>0</v>
      </c>
      <c r="R58" s="72" t="s">
        <v>91</v>
      </c>
      <c r="U58" s="74" t="s">
        <v>231</v>
      </c>
    </row>
    <row r="59" ht="13.9" spans="1:21">
      <c r="A59" s="69">
        <f t="shared" si="1"/>
        <v>55</v>
      </c>
      <c r="B59" s="69" t="s">
        <v>98</v>
      </c>
      <c r="C59" s="69" t="s">
        <v>236</v>
      </c>
      <c r="D59" s="69" t="s">
        <v>237</v>
      </c>
      <c r="E59" s="69" t="s">
        <v>126</v>
      </c>
      <c r="F59" s="69" t="s">
        <v>238</v>
      </c>
      <c r="G59" s="69" t="s">
        <v>239</v>
      </c>
      <c r="H59" s="70" t="s">
        <v>240</v>
      </c>
      <c r="I59" s="70" t="s">
        <v>241</v>
      </c>
      <c r="J59" s="71" t="s">
        <v>109</v>
      </c>
      <c r="K59" s="71">
        <v>1</v>
      </c>
      <c r="L59" s="72">
        <v>0</v>
      </c>
      <c r="M59" s="72">
        <v>14.8</v>
      </c>
      <c r="N59" s="70">
        <f>M59*L59</f>
        <v>0</v>
      </c>
      <c r="O59" s="70">
        <v>0</v>
      </c>
      <c r="P59" s="70">
        <v>0</v>
      </c>
      <c r="R59" s="102" t="s">
        <v>91</v>
      </c>
    </row>
    <row r="60" ht="13.9" spans="1:21">
      <c r="A60" s="69">
        <f t="shared" si="1"/>
        <v>56</v>
      </c>
      <c r="B60" s="69" t="s">
        <v>98</v>
      </c>
      <c r="C60" s="69" t="s">
        <v>236</v>
      </c>
      <c r="D60" s="69" t="s">
        <v>237</v>
      </c>
      <c r="E60" s="69" t="s">
        <v>126</v>
      </c>
      <c r="F60" s="69" t="s">
        <v>238</v>
      </c>
      <c r="G60" s="69" t="s">
        <v>239</v>
      </c>
      <c r="H60" s="70" t="s">
        <v>242</v>
      </c>
      <c r="I60" s="70" t="s">
        <v>243</v>
      </c>
      <c r="J60" s="71" t="s">
        <v>90</v>
      </c>
      <c r="K60" s="71">
        <v>1</v>
      </c>
      <c r="L60" s="72">
        <v>1</v>
      </c>
      <c r="M60" s="72">
        <v>8.66</v>
      </c>
      <c r="N60" s="70">
        <f t="shared" ref="N60:N68" si="2">M60*L60</f>
        <v>8.66</v>
      </c>
      <c r="O60" s="70">
        <v>0</v>
      </c>
      <c r="P60" s="70">
        <v>0</v>
      </c>
      <c r="R60" s="102" t="s">
        <v>91</v>
      </c>
    </row>
    <row r="61" ht="13.9" spans="1:21">
      <c r="A61" s="69">
        <f t="shared" si="1"/>
        <v>57</v>
      </c>
      <c r="B61" s="69" t="s">
        <v>98</v>
      </c>
      <c r="C61" s="69" t="s">
        <v>236</v>
      </c>
      <c r="D61" s="69" t="s">
        <v>237</v>
      </c>
      <c r="E61" s="69" t="s">
        <v>126</v>
      </c>
      <c r="F61" s="69" t="s">
        <v>238</v>
      </c>
      <c r="G61" s="69" t="s">
        <v>239</v>
      </c>
      <c r="H61" s="70" t="s">
        <v>244</v>
      </c>
      <c r="I61" s="70" t="s">
        <v>245</v>
      </c>
      <c r="J61" s="71" t="s">
        <v>109</v>
      </c>
      <c r="K61" s="71">
        <v>1</v>
      </c>
      <c r="L61" s="72">
        <v>0</v>
      </c>
      <c r="M61" s="72">
        <v>6.92</v>
      </c>
      <c r="N61" s="70">
        <f t="shared" si="2"/>
        <v>0</v>
      </c>
      <c r="O61" s="70">
        <v>0</v>
      </c>
      <c r="P61" s="70">
        <v>0</v>
      </c>
      <c r="R61" s="102" t="s">
        <v>91</v>
      </c>
    </row>
    <row r="62" ht="13.9" spans="1:21">
      <c r="A62" s="69">
        <f t="shared" si="1"/>
        <v>58</v>
      </c>
      <c r="B62" s="69" t="s">
        <v>98</v>
      </c>
      <c r="C62" s="69" t="s">
        <v>236</v>
      </c>
      <c r="D62" s="69" t="s">
        <v>237</v>
      </c>
      <c r="E62" s="69" t="s">
        <v>126</v>
      </c>
      <c r="F62" s="69" t="s">
        <v>238</v>
      </c>
      <c r="G62" s="69" t="s">
        <v>239</v>
      </c>
      <c r="H62" s="70" t="s">
        <v>246</v>
      </c>
      <c r="I62" s="70" t="s">
        <v>247</v>
      </c>
      <c r="J62" s="71" t="s">
        <v>109</v>
      </c>
      <c r="K62" s="71">
        <v>1</v>
      </c>
      <c r="L62" s="72">
        <v>0</v>
      </c>
      <c r="M62" s="72">
        <v>20</v>
      </c>
      <c r="N62" s="70">
        <f t="shared" si="2"/>
        <v>0</v>
      </c>
      <c r="O62" s="70">
        <v>0</v>
      </c>
      <c r="P62" s="70">
        <v>0</v>
      </c>
      <c r="R62" s="102" t="s">
        <v>91</v>
      </c>
    </row>
    <row r="63" ht="13.9" spans="1:21">
      <c r="A63" s="69">
        <f t="shared" si="1"/>
        <v>59</v>
      </c>
      <c r="B63" s="69" t="s">
        <v>98</v>
      </c>
      <c r="C63" s="69" t="s">
        <v>236</v>
      </c>
      <c r="D63" s="69" t="s">
        <v>237</v>
      </c>
      <c r="E63" s="69" t="s">
        <v>126</v>
      </c>
      <c r="F63" s="69" t="s">
        <v>238</v>
      </c>
      <c r="G63" s="69" t="s">
        <v>239</v>
      </c>
      <c r="H63" s="70" t="s">
        <v>248</v>
      </c>
      <c r="I63" s="70" t="s">
        <v>249</v>
      </c>
      <c r="J63" s="71" t="s">
        <v>109</v>
      </c>
      <c r="K63" s="71">
        <v>1</v>
      </c>
      <c r="L63" s="72">
        <v>0</v>
      </c>
      <c r="M63" s="72">
        <v>19.43</v>
      </c>
      <c r="N63" s="70">
        <f t="shared" si="2"/>
        <v>0</v>
      </c>
      <c r="O63" s="70">
        <v>0</v>
      </c>
      <c r="P63" s="70">
        <v>0</v>
      </c>
      <c r="R63" s="102" t="s">
        <v>91</v>
      </c>
    </row>
    <row r="64" ht="13.9" spans="1:21">
      <c r="A64" s="69">
        <f t="shared" si="1"/>
        <v>60</v>
      </c>
      <c r="B64" s="69" t="s">
        <v>98</v>
      </c>
      <c r="C64" s="69" t="s">
        <v>236</v>
      </c>
      <c r="D64" s="69" t="s">
        <v>237</v>
      </c>
      <c r="E64" s="69" t="s">
        <v>126</v>
      </c>
      <c r="F64" s="69" t="s">
        <v>238</v>
      </c>
      <c r="G64" s="69" t="s">
        <v>239</v>
      </c>
      <c r="H64" s="70" t="s">
        <v>250</v>
      </c>
      <c r="I64" s="70" t="s">
        <v>251</v>
      </c>
      <c r="J64" s="71" t="s">
        <v>109</v>
      </c>
      <c r="K64" s="71">
        <v>1</v>
      </c>
      <c r="L64" s="72">
        <v>0</v>
      </c>
      <c r="M64" s="72">
        <v>2.56</v>
      </c>
      <c r="N64" s="70">
        <f t="shared" si="2"/>
        <v>0</v>
      </c>
      <c r="O64" s="70">
        <v>0</v>
      </c>
      <c r="P64" s="70">
        <v>0</v>
      </c>
      <c r="R64" s="102" t="s">
        <v>91</v>
      </c>
    </row>
    <row r="65" ht="27.75" spans="1:20">
      <c r="A65" s="69">
        <f t="shared" si="1"/>
        <v>61</v>
      </c>
      <c r="B65" s="69" t="s">
        <v>98</v>
      </c>
      <c r="C65" s="69" t="s">
        <v>236</v>
      </c>
      <c r="D65" s="69" t="s">
        <v>237</v>
      </c>
      <c r="E65" s="69" t="s">
        <v>126</v>
      </c>
      <c r="F65" s="69" t="s">
        <v>238</v>
      </c>
      <c r="G65" s="69" t="s">
        <v>239</v>
      </c>
      <c r="H65" s="70" t="s">
        <v>252</v>
      </c>
      <c r="I65" s="70" t="s">
        <v>253</v>
      </c>
      <c r="J65" s="71" t="s">
        <v>109</v>
      </c>
      <c r="K65" s="71">
        <v>1</v>
      </c>
      <c r="L65" s="72">
        <v>0</v>
      </c>
      <c r="M65" s="72">
        <v>19.88</v>
      </c>
      <c r="N65" s="70">
        <f t="shared" si="2"/>
        <v>0</v>
      </c>
      <c r="O65" s="70">
        <v>0</v>
      </c>
      <c r="P65" s="70">
        <v>0</v>
      </c>
      <c r="R65" s="102" t="s">
        <v>91</v>
      </c>
    </row>
    <row r="66" ht="13.9" spans="1:20">
      <c r="A66" s="69">
        <f t="shared" si="1"/>
        <v>62</v>
      </c>
      <c r="B66" s="69" t="s">
        <v>98</v>
      </c>
      <c r="C66" s="69" t="s">
        <v>236</v>
      </c>
      <c r="D66" s="69" t="s">
        <v>237</v>
      </c>
      <c r="E66" s="69" t="s">
        <v>126</v>
      </c>
      <c r="F66" s="69" t="s">
        <v>238</v>
      </c>
      <c r="G66" s="69" t="s">
        <v>239</v>
      </c>
      <c r="H66" s="70" t="s">
        <v>254</v>
      </c>
      <c r="I66" s="70" t="s">
        <v>255</v>
      </c>
      <c r="J66" s="71" t="s">
        <v>90</v>
      </c>
      <c r="K66" s="71">
        <v>1</v>
      </c>
      <c r="L66" s="72">
        <v>1</v>
      </c>
      <c r="M66" s="72">
        <v>46.45</v>
      </c>
      <c r="N66" s="70">
        <f t="shared" si="2"/>
        <v>46.45</v>
      </c>
      <c r="O66" s="70">
        <v>0</v>
      </c>
      <c r="P66" s="70">
        <v>0</v>
      </c>
      <c r="R66" s="102" t="s">
        <v>91</v>
      </c>
    </row>
    <row r="67" ht="13.9" spans="1:20">
      <c r="A67" s="69">
        <f t="shared" si="1"/>
        <v>63</v>
      </c>
      <c r="B67" s="69" t="s">
        <v>98</v>
      </c>
      <c r="C67" s="69" t="s">
        <v>236</v>
      </c>
      <c r="D67" s="69" t="s">
        <v>237</v>
      </c>
      <c r="E67" s="69" t="s">
        <v>126</v>
      </c>
      <c r="F67" s="69" t="s">
        <v>238</v>
      </c>
      <c r="G67" s="69" t="s">
        <v>239</v>
      </c>
      <c r="H67" s="70" t="s">
        <v>256</v>
      </c>
      <c r="I67" s="70" t="s">
        <v>257</v>
      </c>
      <c r="J67" s="71" t="s">
        <v>109</v>
      </c>
      <c r="K67" s="71">
        <v>1</v>
      </c>
      <c r="L67" s="72">
        <v>0</v>
      </c>
      <c r="M67" s="72">
        <v>15.24</v>
      </c>
      <c r="N67" s="70">
        <f t="shared" si="2"/>
        <v>0</v>
      </c>
      <c r="O67" s="70">
        <v>0</v>
      </c>
      <c r="P67" s="70">
        <v>0</v>
      </c>
      <c r="R67" s="102" t="s">
        <v>91</v>
      </c>
    </row>
    <row r="68" ht="13.9" spans="1:20">
      <c r="A68" s="69">
        <f t="shared" si="1"/>
        <v>64</v>
      </c>
      <c r="B68" s="69" t="s">
        <v>98</v>
      </c>
      <c r="C68" s="69" t="s">
        <v>236</v>
      </c>
      <c r="D68" s="69" t="s">
        <v>237</v>
      </c>
      <c r="E68" s="69" t="s">
        <v>126</v>
      </c>
      <c r="F68" s="69" t="s">
        <v>238</v>
      </c>
      <c r="G68" s="69" t="s">
        <v>239</v>
      </c>
      <c r="H68" s="70" t="s">
        <v>258</v>
      </c>
      <c r="I68" s="70" t="s">
        <v>259</v>
      </c>
      <c r="J68" s="71" t="s">
        <v>109</v>
      </c>
      <c r="K68" s="71">
        <v>1</v>
      </c>
      <c r="L68" s="72">
        <v>0</v>
      </c>
      <c r="M68" s="72">
        <v>15.76</v>
      </c>
      <c r="N68" s="70">
        <f t="shared" si="2"/>
        <v>0</v>
      </c>
      <c r="O68" s="70">
        <v>0</v>
      </c>
      <c r="P68" s="70">
        <v>0</v>
      </c>
      <c r="R68" s="102" t="s">
        <v>91</v>
      </c>
    </row>
    <row r="69" ht="27.75" spans="1:20">
      <c r="A69" s="69">
        <f t="shared" ref="A69:A132" si="3">ROW()-4</f>
        <v>65</v>
      </c>
      <c r="B69" s="109" t="s">
        <v>98</v>
      </c>
      <c r="C69" s="98" t="s">
        <v>260</v>
      </c>
      <c r="D69" s="98" t="s">
        <v>261</v>
      </c>
      <c r="E69" s="99" t="s">
        <v>126</v>
      </c>
      <c r="F69" s="110">
        <v>45666</v>
      </c>
      <c r="G69" s="69" t="s">
        <v>262</v>
      </c>
      <c r="H69" s="70" t="s">
        <v>263</v>
      </c>
      <c r="I69" s="70" t="s">
        <v>264</v>
      </c>
      <c r="J69" s="108" t="s">
        <v>90</v>
      </c>
      <c r="K69" s="71">
        <v>1</v>
      </c>
      <c r="L69" s="71">
        <v>1</v>
      </c>
      <c r="M69" s="72">
        <v>28</v>
      </c>
      <c r="N69" s="72">
        <v>28</v>
      </c>
      <c r="O69" s="70">
        <v>0</v>
      </c>
      <c r="P69" s="70">
        <v>0</v>
      </c>
      <c r="R69" s="72" t="s">
        <v>91</v>
      </c>
    </row>
    <row r="70" ht="27.75" spans="1:20">
      <c r="A70" s="69">
        <f t="shared" si="3"/>
        <v>66</v>
      </c>
      <c r="B70" s="109" t="s">
        <v>98</v>
      </c>
      <c r="C70" s="98" t="s">
        <v>260</v>
      </c>
      <c r="D70" s="98" t="s">
        <v>261</v>
      </c>
      <c r="E70" s="99" t="s">
        <v>126</v>
      </c>
      <c r="F70" s="110">
        <v>45666</v>
      </c>
      <c r="G70" s="69" t="s">
        <v>262</v>
      </c>
      <c r="H70" s="70" t="s">
        <v>265</v>
      </c>
      <c r="I70" s="70" t="s">
        <v>266</v>
      </c>
      <c r="J70" s="108" t="s">
        <v>90</v>
      </c>
      <c r="K70" s="71">
        <v>1</v>
      </c>
      <c r="L70" s="71">
        <v>1</v>
      </c>
      <c r="M70" s="72">
        <v>20</v>
      </c>
      <c r="N70" s="72">
        <v>20</v>
      </c>
      <c r="O70" s="70">
        <v>0</v>
      </c>
      <c r="P70" s="70">
        <v>0</v>
      </c>
      <c r="R70" s="72" t="s">
        <v>91</v>
      </c>
    </row>
    <row r="71" ht="27.75" spans="1:20">
      <c r="A71" s="69">
        <f t="shared" si="3"/>
        <v>67</v>
      </c>
      <c r="B71" s="109" t="s">
        <v>98</v>
      </c>
      <c r="C71" s="98" t="s">
        <v>260</v>
      </c>
      <c r="D71" s="98" t="s">
        <v>261</v>
      </c>
      <c r="E71" s="99" t="s">
        <v>126</v>
      </c>
      <c r="F71" s="110">
        <v>45666</v>
      </c>
      <c r="G71" s="69" t="s">
        <v>262</v>
      </c>
      <c r="H71" s="70" t="s">
        <v>267</v>
      </c>
      <c r="I71" s="70" t="s">
        <v>268</v>
      </c>
      <c r="J71" s="108" t="s">
        <v>90</v>
      </c>
      <c r="K71" s="71">
        <v>1</v>
      </c>
      <c r="L71" s="71">
        <v>1</v>
      </c>
      <c r="M71" s="72">
        <v>35</v>
      </c>
      <c r="N71" s="72">
        <v>35</v>
      </c>
      <c r="O71" s="70">
        <v>0</v>
      </c>
      <c r="P71" s="70">
        <v>0</v>
      </c>
      <c r="R71" s="72" t="s">
        <v>91</v>
      </c>
    </row>
    <row r="72" ht="13.9" spans="1:20">
      <c r="A72" s="69">
        <f t="shared" si="3"/>
        <v>68</v>
      </c>
      <c r="B72" s="69" t="s">
        <v>148</v>
      </c>
      <c r="C72" s="98" t="s">
        <v>269</v>
      </c>
      <c r="D72" s="69" t="s">
        <v>270</v>
      </c>
      <c r="E72" s="99" t="s">
        <v>126</v>
      </c>
      <c r="F72" s="69" t="s">
        <v>271</v>
      </c>
      <c r="G72" s="69" t="s">
        <v>272</v>
      </c>
      <c r="H72" s="70" t="s">
        <v>273</v>
      </c>
      <c r="I72" s="70" t="s">
        <v>274</v>
      </c>
      <c r="J72" s="100" t="s">
        <v>90</v>
      </c>
      <c r="K72" s="71">
        <v>1</v>
      </c>
      <c r="L72" s="72">
        <v>1</v>
      </c>
      <c r="M72" s="72">
        <v>1.28</v>
      </c>
      <c r="N72" s="72">
        <v>1.28</v>
      </c>
      <c r="O72" s="70">
        <v>0</v>
      </c>
      <c r="P72" s="70">
        <v>0</v>
      </c>
      <c r="R72" s="102" t="s">
        <v>91</v>
      </c>
      <c r="T72" s="110">
        <v>45665</v>
      </c>
    </row>
    <row r="73" ht="13.9" spans="1:20">
      <c r="A73" s="69">
        <f t="shared" si="3"/>
        <v>69</v>
      </c>
      <c r="B73" s="69" t="s">
        <v>148</v>
      </c>
      <c r="C73" s="69" t="s">
        <v>275</v>
      </c>
      <c r="D73" s="69" t="s">
        <v>276</v>
      </c>
      <c r="E73" s="99" t="s">
        <v>126</v>
      </c>
      <c r="F73" s="69" t="s">
        <v>271</v>
      </c>
      <c r="G73" s="69" t="s">
        <v>272</v>
      </c>
      <c r="H73" s="70" t="s">
        <v>273</v>
      </c>
      <c r="I73" s="70" t="s">
        <v>274</v>
      </c>
      <c r="J73" s="100" t="s">
        <v>90</v>
      </c>
      <c r="K73" s="71">
        <v>1</v>
      </c>
      <c r="L73" s="72">
        <v>1</v>
      </c>
      <c r="M73" s="72">
        <v>0.36</v>
      </c>
      <c r="N73" s="72">
        <v>0.36</v>
      </c>
      <c r="O73" s="70">
        <v>0</v>
      </c>
      <c r="P73" s="70">
        <v>0</v>
      </c>
      <c r="R73" s="102" t="s">
        <v>91</v>
      </c>
      <c r="T73" s="110">
        <v>45665</v>
      </c>
    </row>
    <row r="74" ht="13.9" spans="1:20">
      <c r="A74" s="69">
        <f t="shared" si="3"/>
        <v>70</v>
      </c>
      <c r="B74" s="69" t="s">
        <v>148</v>
      </c>
      <c r="C74" s="69" t="s">
        <v>277</v>
      </c>
      <c r="D74" s="69" t="s">
        <v>278</v>
      </c>
      <c r="E74" s="99" t="s">
        <v>126</v>
      </c>
      <c r="F74" s="69" t="s">
        <v>271</v>
      </c>
      <c r="G74" s="69" t="s">
        <v>272</v>
      </c>
      <c r="H74" s="70" t="s">
        <v>273</v>
      </c>
      <c r="I74" s="70" t="s">
        <v>274</v>
      </c>
      <c r="J74" s="100" t="s">
        <v>90</v>
      </c>
      <c r="K74" s="71">
        <v>1</v>
      </c>
      <c r="L74" s="72">
        <v>1</v>
      </c>
      <c r="M74" s="72">
        <v>0.24</v>
      </c>
      <c r="N74" s="72">
        <v>0.24</v>
      </c>
      <c r="O74" s="70">
        <v>0</v>
      </c>
      <c r="P74" s="70">
        <v>0</v>
      </c>
      <c r="R74" s="102" t="s">
        <v>91</v>
      </c>
      <c r="T74" s="110">
        <v>45665</v>
      </c>
    </row>
    <row r="75" ht="13.9" spans="1:20">
      <c r="A75" s="69">
        <f t="shared" si="3"/>
        <v>71</v>
      </c>
      <c r="B75" s="69" t="s">
        <v>148</v>
      </c>
      <c r="C75" s="69" t="s">
        <v>279</v>
      </c>
      <c r="D75" s="69" t="s">
        <v>280</v>
      </c>
      <c r="E75" s="99" t="s">
        <v>126</v>
      </c>
      <c r="F75" s="69" t="s">
        <v>238</v>
      </c>
      <c r="G75" s="69" t="s">
        <v>272</v>
      </c>
      <c r="H75" s="70" t="s">
        <v>281</v>
      </c>
      <c r="I75" s="70" t="s">
        <v>282</v>
      </c>
      <c r="J75" s="100" t="s">
        <v>90</v>
      </c>
      <c r="K75" s="71">
        <v>3</v>
      </c>
      <c r="L75" s="72">
        <v>3</v>
      </c>
      <c r="M75" s="72">
        <v>3.34</v>
      </c>
      <c r="N75" s="72">
        <v>3.34</v>
      </c>
      <c r="O75" s="70">
        <v>0</v>
      </c>
      <c r="P75" s="70">
        <v>0</v>
      </c>
      <c r="R75" s="102" t="s">
        <v>91</v>
      </c>
      <c r="T75" s="110">
        <v>45666</v>
      </c>
    </row>
    <row r="76" ht="13.9" spans="1:20">
      <c r="A76" s="69">
        <f t="shared" si="3"/>
        <v>72</v>
      </c>
      <c r="B76" s="69" t="s">
        <v>148</v>
      </c>
      <c r="C76" s="111" t="s">
        <v>283</v>
      </c>
      <c r="D76" s="69" t="s">
        <v>284</v>
      </c>
      <c r="E76" s="99" t="s">
        <v>285</v>
      </c>
      <c r="F76" s="107">
        <v>45674</v>
      </c>
      <c r="G76" s="69" t="s">
        <v>286</v>
      </c>
      <c r="H76" s="70" t="s">
        <v>287</v>
      </c>
      <c r="I76" s="70" t="s">
        <v>288</v>
      </c>
      <c r="J76" s="108" t="s">
        <v>90</v>
      </c>
      <c r="K76" s="71">
        <v>1</v>
      </c>
      <c r="L76" s="72">
        <v>1</v>
      </c>
      <c r="M76" s="72">
        <v>240</v>
      </c>
      <c r="N76" s="72">
        <v>240</v>
      </c>
      <c r="O76" s="70">
        <v>18</v>
      </c>
      <c r="P76" s="70">
        <v>0</v>
      </c>
      <c r="R76" s="72" t="s">
        <v>91</v>
      </c>
      <c r="T76" s="110">
        <v>45674</v>
      </c>
    </row>
    <row r="77" ht="13.9" spans="1:20">
      <c r="A77" s="69">
        <f t="shared" si="3"/>
        <v>73</v>
      </c>
      <c r="B77" s="69" t="s">
        <v>148</v>
      </c>
      <c r="C77" s="111" t="s">
        <v>289</v>
      </c>
      <c r="D77" s="69" t="s">
        <v>284</v>
      </c>
      <c r="E77" s="99" t="s">
        <v>285</v>
      </c>
      <c r="F77" s="107">
        <v>45674</v>
      </c>
      <c r="G77" s="69" t="s">
        <v>286</v>
      </c>
      <c r="H77" s="70" t="s">
        <v>290</v>
      </c>
      <c r="I77" s="70" t="s">
        <v>291</v>
      </c>
      <c r="J77" s="108" t="s">
        <v>90</v>
      </c>
      <c r="K77" s="71">
        <v>1</v>
      </c>
      <c r="L77" s="72">
        <v>1</v>
      </c>
      <c r="M77" s="72">
        <v>520</v>
      </c>
      <c r="N77" s="72">
        <v>520</v>
      </c>
      <c r="O77" s="70">
        <v>0</v>
      </c>
      <c r="P77" s="70">
        <v>0</v>
      </c>
      <c r="R77" s="72" t="s">
        <v>91</v>
      </c>
      <c r="T77" s="110">
        <v>45674</v>
      </c>
    </row>
    <row r="78" ht="13.9" spans="1:20">
      <c r="A78" s="69">
        <f t="shared" si="3"/>
        <v>74</v>
      </c>
      <c r="B78" s="69" t="s">
        <v>148</v>
      </c>
      <c r="C78" s="111" t="s">
        <v>292</v>
      </c>
      <c r="D78" s="69" t="s">
        <v>284</v>
      </c>
      <c r="E78" s="99" t="s">
        <v>285</v>
      </c>
      <c r="F78" s="107">
        <v>45674</v>
      </c>
      <c r="G78" s="69" t="s">
        <v>286</v>
      </c>
      <c r="H78" s="70" t="s">
        <v>293</v>
      </c>
      <c r="I78" s="70" t="s">
        <v>294</v>
      </c>
      <c r="J78" s="108" t="s">
        <v>90</v>
      </c>
      <c r="K78" s="71">
        <v>1</v>
      </c>
      <c r="L78" s="72">
        <v>1</v>
      </c>
      <c r="M78" s="72">
        <v>160</v>
      </c>
      <c r="N78" s="72">
        <v>160</v>
      </c>
      <c r="O78" s="70">
        <v>0</v>
      </c>
      <c r="P78" s="70">
        <v>0</v>
      </c>
      <c r="R78" s="72" t="s">
        <v>91</v>
      </c>
      <c r="T78" s="110">
        <v>45674</v>
      </c>
    </row>
    <row r="79" ht="13.9" spans="1:20">
      <c r="A79" s="69">
        <f t="shared" si="3"/>
        <v>75</v>
      </c>
      <c r="B79" s="69" t="s">
        <v>148</v>
      </c>
      <c r="C79" s="111" t="s">
        <v>295</v>
      </c>
      <c r="D79" s="69" t="s">
        <v>284</v>
      </c>
      <c r="E79" s="99" t="s">
        <v>285</v>
      </c>
      <c r="F79" s="107">
        <v>45674</v>
      </c>
      <c r="G79" s="69" t="s">
        <v>286</v>
      </c>
      <c r="H79" s="70" t="s">
        <v>296</v>
      </c>
      <c r="I79" s="70" t="s">
        <v>297</v>
      </c>
      <c r="J79" s="108" t="s">
        <v>90</v>
      </c>
      <c r="K79" s="71">
        <v>1</v>
      </c>
      <c r="L79" s="72">
        <v>1</v>
      </c>
      <c r="M79" s="72">
        <v>400</v>
      </c>
      <c r="N79" s="72">
        <v>400</v>
      </c>
      <c r="O79" s="70">
        <v>0</v>
      </c>
      <c r="P79" s="70">
        <v>0</v>
      </c>
      <c r="R79" s="72" t="s">
        <v>91</v>
      </c>
      <c r="T79" s="110">
        <v>45674</v>
      </c>
    </row>
    <row r="80" ht="13.9" spans="1:20">
      <c r="A80" s="69">
        <f t="shared" si="3"/>
        <v>76</v>
      </c>
      <c r="B80" s="69" t="s">
        <v>148</v>
      </c>
      <c r="C80" s="111" t="s">
        <v>298</v>
      </c>
      <c r="D80" s="69" t="s">
        <v>284</v>
      </c>
      <c r="E80" s="99" t="s">
        <v>285</v>
      </c>
      <c r="F80" s="107">
        <v>45674</v>
      </c>
      <c r="G80" s="69" t="s">
        <v>286</v>
      </c>
      <c r="H80" s="70" t="s">
        <v>299</v>
      </c>
      <c r="I80" s="70" t="s">
        <v>300</v>
      </c>
      <c r="J80" s="108" t="s">
        <v>90</v>
      </c>
      <c r="K80" s="71">
        <v>1</v>
      </c>
      <c r="L80" s="72">
        <v>1</v>
      </c>
      <c r="M80" s="72">
        <v>180</v>
      </c>
      <c r="N80" s="72">
        <v>180</v>
      </c>
      <c r="O80" s="70">
        <v>0</v>
      </c>
      <c r="P80" s="70">
        <v>0</v>
      </c>
      <c r="R80" s="72" t="s">
        <v>91</v>
      </c>
      <c r="T80" s="110">
        <v>45674</v>
      </c>
    </row>
    <row r="81" ht="13.9" spans="1:21">
      <c r="A81" s="69">
        <f t="shared" si="3"/>
        <v>77</v>
      </c>
      <c r="B81" s="69" t="s">
        <v>301</v>
      </c>
      <c r="C81" s="69" t="s">
        <v>302</v>
      </c>
      <c r="D81" s="69" t="s">
        <v>303</v>
      </c>
      <c r="E81" s="69" t="s">
        <v>151</v>
      </c>
      <c r="F81" s="107">
        <v>45677</v>
      </c>
      <c r="G81" s="69" t="s">
        <v>152</v>
      </c>
      <c r="H81" s="70" t="s">
        <v>153</v>
      </c>
      <c r="I81" s="70" t="s">
        <v>304</v>
      </c>
      <c r="J81" s="71" t="s">
        <v>90</v>
      </c>
      <c r="K81" s="71">
        <v>1</v>
      </c>
      <c r="L81" s="72">
        <v>1</v>
      </c>
      <c r="M81" s="72">
        <v>13</v>
      </c>
      <c r="N81" s="70">
        <v>13</v>
      </c>
      <c r="O81" s="70">
        <v>0</v>
      </c>
      <c r="P81" s="70">
        <v>0</v>
      </c>
      <c r="R81" s="72" t="s">
        <v>91</v>
      </c>
    </row>
    <row r="82" ht="13.9" spans="1:21">
      <c r="A82" s="69">
        <f t="shared" si="3"/>
        <v>78</v>
      </c>
      <c r="B82" s="69" t="s">
        <v>301</v>
      </c>
      <c r="C82" s="69" t="s">
        <v>302</v>
      </c>
      <c r="D82" s="69" t="s">
        <v>303</v>
      </c>
      <c r="E82" s="69" t="s">
        <v>151</v>
      </c>
      <c r="F82" s="107">
        <v>45677</v>
      </c>
      <c r="G82" s="69" t="s">
        <v>152</v>
      </c>
      <c r="H82" s="70" t="s">
        <v>153</v>
      </c>
      <c r="I82" s="70" t="s">
        <v>305</v>
      </c>
      <c r="J82" s="71" t="s">
        <v>90</v>
      </c>
      <c r="K82" s="71">
        <v>1</v>
      </c>
      <c r="L82" s="72">
        <v>1</v>
      </c>
      <c r="M82" s="72">
        <v>13</v>
      </c>
      <c r="N82" s="70">
        <v>13</v>
      </c>
      <c r="O82" s="70">
        <v>0</v>
      </c>
      <c r="P82" s="70">
        <v>0</v>
      </c>
      <c r="R82" s="72" t="s">
        <v>91</v>
      </c>
    </row>
    <row r="83" ht="27.75" spans="1:21">
      <c r="A83" s="69">
        <f t="shared" si="3"/>
        <v>79</v>
      </c>
      <c r="B83" s="69" t="s">
        <v>301</v>
      </c>
      <c r="C83" s="69" t="s">
        <v>302</v>
      </c>
      <c r="D83" s="69" t="s">
        <v>303</v>
      </c>
      <c r="E83" s="69" t="s">
        <v>151</v>
      </c>
      <c r="F83" s="107">
        <v>45677</v>
      </c>
      <c r="G83" s="69" t="s">
        <v>152</v>
      </c>
      <c r="H83" s="70" t="s">
        <v>306</v>
      </c>
      <c r="I83" s="70" t="s">
        <v>307</v>
      </c>
      <c r="J83" s="71" t="s">
        <v>90</v>
      </c>
      <c r="K83" s="71">
        <v>1</v>
      </c>
      <c r="L83" s="72">
        <v>1</v>
      </c>
      <c r="M83" s="72">
        <v>35</v>
      </c>
      <c r="N83" s="70">
        <v>35</v>
      </c>
      <c r="O83" s="70">
        <v>0</v>
      </c>
      <c r="P83" s="70">
        <v>0</v>
      </c>
      <c r="R83" s="72" t="s">
        <v>91</v>
      </c>
    </row>
    <row r="84" ht="27.75" spans="1:21">
      <c r="A84" s="69">
        <f t="shared" si="3"/>
        <v>80</v>
      </c>
      <c r="B84" s="69" t="s">
        <v>301</v>
      </c>
      <c r="C84" s="69" t="s">
        <v>302</v>
      </c>
      <c r="D84" s="69" t="s">
        <v>303</v>
      </c>
      <c r="E84" s="69" t="s">
        <v>151</v>
      </c>
      <c r="F84" s="107">
        <v>45677</v>
      </c>
      <c r="G84" s="69" t="s">
        <v>152</v>
      </c>
      <c r="H84" s="70" t="s">
        <v>306</v>
      </c>
      <c r="I84" s="70" t="s">
        <v>308</v>
      </c>
      <c r="J84" s="71" t="s">
        <v>90</v>
      </c>
      <c r="K84" s="71">
        <v>1</v>
      </c>
      <c r="L84" s="72">
        <v>1</v>
      </c>
      <c r="M84" s="72">
        <v>35</v>
      </c>
      <c r="N84" s="70">
        <v>35</v>
      </c>
      <c r="O84" s="70">
        <v>0</v>
      </c>
      <c r="P84" s="70">
        <v>0</v>
      </c>
      <c r="R84" s="72" t="s">
        <v>91</v>
      </c>
    </row>
    <row r="85" ht="27.75" spans="1:21">
      <c r="A85" s="69">
        <f t="shared" si="3"/>
        <v>81</v>
      </c>
      <c r="B85" s="69" t="s">
        <v>301</v>
      </c>
      <c r="C85" s="69" t="s">
        <v>309</v>
      </c>
      <c r="D85" s="69" t="s">
        <v>310</v>
      </c>
      <c r="E85" s="69" t="s">
        <v>151</v>
      </c>
      <c r="F85" s="107">
        <v>45677</v>
      </c>
      <c r="G85" s="69" t="s">
        <v>152</v>
      </c>
      <c r="H85" s="70" t="s">
        <v>306</v>
      </c>
      <c r="I85" s="70" t="s">
        <v>311</v>
      </c>
      <c r="J85" s="71" t="s">
        <v>90</v>
      </c>
      <c r="K85" s="71">
        <v>1</v>
      </c>
      <c r="L85" s="72">
        <v>1</v>
      </c>
      <c r="M85" s="72">
        <v>75</v>
      </c>
      <c r="N85" s="70">
        <v>75</v>
      </c>
      <c r="O85" s="70">
        <v>0</v>
      </c>
      <c r="P85" s="70">
        <v>0</v>
      </c>
      <c r="R85" s="72" t="s">
        <v>91</v>
      </c>
    </row>
    <row r="86" ht="27.75" spans="1:21">
      <c r="A86" s="69">
        <f t="shared" si="3"/>
        <v>82</v>
      </c>
      <c r="B86" s="69" t="s">
        <v>301</v>
      </c>
      <c r="C86" s="69" t="s">
        <v>312</v>
      </c>
      <c r="D86" s="69" t="s">
        <v>313</v>
      </c>
      <c r="E86" s="69" t="s">
        <v>151</v>
      </c>
      <c r="F86" s="107">
        <v>45677</v>
      </c>
      <c r="G86" s="69" t="s">
        <v>152</v>
      </c>
      <c r="H86" s="70" t="s">
        <v>306</v>
      </c>
      <c r="I86" s="70" t="s">
        <v>314</v>
      </c>
      <c r="J86" s="71" t="s">
        <v>90</v>
      </c>
      <c r="K86" s="71">
        <v>1</v>
      </c>
      <c r="L86" s="72">
        <v>1</v>
      </c>
      <c r="M86" s="72">
        <v>86</v>
      </c>
      <c r="N86" s="70">
        <v>86</v>
      </c>
      <c r="O86" s="70">
        <v>0</v>
      </c>
      <c r="P86" s="70">
        <v>0</v>
      </c>
      <c r="R86" s="72" t="s">
        <v>91</v>
      </c>
    </row>
    <row r="87" ht="13.9" spans="1:21">
      <c r="A87" s="69">
        <f t="shared" si="3"/>
        <v>83</v>
      </c>
      <c r="B87" s="69" t="s">
        <v>301</v>
      </c>
      <c r="C87" s="69" t="s">
        <v>315</v>
      </c>
      <c r="D87" s="69" t="s">
        <v>316</v>
      </c>
      <c r="E87" s="69" t="s">
        <v>151</v>
      </c>
      <c r="F87" s="107">
        <v>45677</v>
      </c>
      <c r="G87" s="69" t="s">
        <v>152</v>
      </c>
      <c r="H87" s="70" t="s">
        <v>317</v>
      </c>
      <c r="I87" s="70" t="s">
        <v>318</v>
      </c>
      <c r="J87" s="71" t="s">
        <v>90</v>
      </c>
      <c r="K87" s="71">
        <v>1</v>
      </c>
      <c r="L87" s="72">
        <v>1</v>
      </c>
      <c r="M87" s="72">
        <v>16</v>
      </c>
      <c r="N87" s="70">
        <v>16</v>
      </c>
      <c r="O87" s="70">
        <v>0</v>
      </c>
      <c r="P87" s="70">
        <v>0</v>
      </c>
      <c r="R87" s="72" t="s">
        <v>91</v>
      </c>
    </row>
    <row r="88" ht="13.9" spans="1:21">
      <c r="A88" s="69">
        <f t="shared" si="3"/>
        <v>84</v>
      </c>
      <c r="B88" s="69" t="s">
        <v>301</v>
      </c>
      <c r="C88" s="69" t="s">
        <v>319</v>
      </c>
      <c r="D88" s="69" t="s">
        <v>316</v>
      </c>
      <c r="E88" s="69" t="s">
        <v>151</v>
      </c>
      <c r="F88" s="107">
        <v>45677</v>
      </c>
      <c r="G88" s="69" t="s">
        <v>152</v>
      </c>
      <c r="H88" s="70" t="s">
        <v>320</v>
      </c>
      <c r="I88" s="70" t="s">
        <v>321</v>
      </c>
      <c r="J88" s="71" t="s">
        <v>109</v>
      </c>
      <c r="K88" s="71">
        <v>1</v>
      </c>
      <c r="L88" s="72">
        <v>0</v>
      </c>
      <c r="M88" s="72">
        <v>4</v>
      </c>
      <c r="N88" s="70">
        <v>0</v>
      </c>
      <c r="O88" s="70">
        <v>0</v>
      </c>
      <c r="P88" s="70">
        <v>0</v>
      </c>
      <c r="R88" s="72" t="s">
        <v>91</v>
      </c>
      <c r="U88" s="74" t="s">
        <v>322</v>
      </c>
    </row>
    <row r="89" ht="13.9" spans="1:21">
      <c r="A89" s="69">
        <f t="shared" si="3"/>
        <v>85</v>
      </c>
      <c r="B89" s="69" t="s">
        <v>323</v>
      </c>
      <c r="C89" s="69" t="s">
        <v>324</v>
      </c>
      <c r="D89" s="69" t="s">
        <v>325</v>
      </c>
      <c r="E89" s="69" t="s">
        <v>285</v>
      </c>
      <c r="F89" s="107">
        <v>45699</v>
      </c>
      <c r="G89" s="69" t="s">
        <v>128</v>
      </c>
      <c r="H89" s="70" t="s">
        <v>326</v>
      </c>
      <c r="I89" s="70" t="s">
        <v>327</v>
      </c>
      <c r="J89" s="71" t="s">
        <v>109</v>
      </c>
      <c r="K89" s="71">
        <v>1</v>
      </c>
      <c r="L89" s="72">
        <v>0</v>
      </c>
      <c r="M89" s="72">
        <v>10</v>
      </c>
      <c r="N89" s="70">
        <v>0</v>
      </c>
      <c r="O89" s="70">
        <v>0</v>
      </c>
      <c r="P89" s="70">
        <v>0</v>
      </c>
      <c r="R89" s="72" t="s">
        <v>91</v>
      </c>
      <c r="U89" s="74" t="s">
        <v>328</v>
      </c>
    </row>
    <row r="90" ht="30" customHeight="1" spans="1:21">
      <c r="A90" s="69">
        <f t="shared" si="3"/>
        <v>86</v>
      </c>
      <c r="B90" s="69" t="s">
        <v>323</v>
      </c>
      <c r="C90" s="98" t="s">
        <v>329</v>
      </c>
      <c r="D90" s="98" t="s">
        <v>330</v>
      </c>
      <c r="E90" s="69" t="s">
        <v>285</v>
      </c>
      <c r="F90" s="107">
        <v>45695</v>
      </c>
      <c r="G90" s="69" t="s">
        <v>128</v>
      </c>
      <c r="H90" s="70" t="s">
        <v>331</v>
      </c>
      <c r="I90" s="70" t="s">
        <v>332</v>
      </c>
      <c r="J90" s="71" t="s">
        <v>109</v>
      </c>
      <c r="K90" s="71">
        <v>1</v>
      </c>
      <c r="L90" s="72">
        <v>0</v>
      </c>
      <c r="M90" s="72">
        <v>5</v>
      </c>
      <c r="N90" s="70">
        <v>0</v>
      </c>
      <c r="O90" s="70">
        <v>0</v>
      </c>
      <c r="P90" s="70">
        <v>0</v>
      </c>
      <c r="R90" s="72" t="s">
        <v>91</v>
      </c>
      <c r="U90" s="74" t="s">
        <v>333</v>
      </c>
    </row>
    <row r="91" ht="13.9" spans="1:21">
      <c r="A91" s="69">
        <f t="shared" si="3"/>
        <v>87</v>
      </c>
      <c r="B91" s="69" t="s">
        <v>323</v>
      </c>
      <c r="C91" s="98" t="s">
        <v>329</v>
      </c>
      <c r="D91" s="98" t="s">
        <v>330</v>
      </c>
      <c r="E91" s="69" t="s">
        <v>285</v>
      </c>
      <c r="F91" s="107">
        <v>45695</v>
      </c>
      <c r="G91" s="69" t="s">
        <v>128</v>
      </c>
      <c r="H91" s="70" t="s">
        <v>334</v>
      </c>
      <c r="I91" s="70" t="s">
        <v>335</v>
      </c>
      <c r="J91" s="71" t="s">
        <v>90</v>
      </c>
      <c r="K91" s="71">
        <v>1</v>
      </c>
      <c r="L91" s="72">
        <v>1</v>
      </c>
      <c r="M91" s="72">
        <v>33</v>
      </c>
      <c r="N91" s="70">
        <v>33</v>
      </c>
      <c r="O91" s="70">
        <v>0</v>
      </c>
      <c r="P91" s="70">
        <v>0</v>
      </c>
      <c r="R91" s="72" t="s">
        <v>91</v>
      </c>
    </row>
    <row r="92" ht="13.9" spans="1:21">
      <c r="A92" s="69">
        <f t="shared" si="3"/>
        <v>88</v>
      </c>
      <c r="B92" s="69" t="s">
        <v>323</v>
      </c>
      <c r="C92" s="98" t="s">
        <v>329</v>
      </c>
      <c r="D92" s="98" t="s">
        <v>330</v>
      </c>
      <c r="E92" s="69" t="s">
        <v>285</v>
      </c>
      <c r="F92" s="107">
        <v>45695</v>
      </c>
      <c r="G92" s="69" t="s">
        <v>128</v>
      </c>
      <c r="H92" s="70" t="s">
        <v>336</v>
      </c>
      <c r="I92" s="70" t="s">
        <v>337</v>
      </c>
      <c r="J92" s="71" t="s">
        <v>109</v>
      </c>
      <c r="K92" s="71">
        <v>1</v>
      </c>
      <c r="L92" s="72">
        <v>0</v>
      </c>
      <c r="M92" s="72">
        <v>25.65</v>
      </c>
      <c r="N92" s="70">
        <v>0</v>
      </c>
      <c r="O92" s="70">
        <v>0</v>
      </c>
      <c r="P92" s="70">
        <v>0</v>
      </c>
      <c r="R92" s="72" t="s">
        <v>91</v>
      </c>
      <c r="U92" s="74" t="s">
        <v>338</v>
      </c>
    </row>
    <row r="93" ht="13.9" spans="1:21">
      <c r="A93" s="69">
        <f t="shared" si="3"/>
        <v>89</v>
      </c>
      <c r="B93" s="69" t="s">
        <v>98</v>
      </c>
      <c r="C93" s="98" t="s">
        <v>329</v>
      </c>
      <c r="D93" s="69" t="s">
        <v>339</v>
      </c>
      <c r="E93" s="69" t="s">
        <v>151</v>
      </c>
      <c r="F93" s="107">
        <v>45696</v>
      </c>
      <c r="G93" s="69" t="s">
        <v>340</v>
      </c>
      <c r="H93" s="70" t="s">
        <v>341</v>
      </c>
      <c r="I93" s="70" t="s">
        <v>342</v>
      </c>
      <c r="J93" s="71" t="s">
        <v>109</v>
      </c>
      <c r="K93" s="71">
        <v>1</v>
      </c>
      <c r="L93" s="72">
        <v>0</v>
      </c>
      <c r="M93" s="72">
        <v>26</v>
      </c>
      <c r="N93" s="70">
        <v>0</v>
      </c>
      <c r="O93" s="70">
        <v>0</v>
      </c>
      <c r="P93" s="70">
        <v>0</v>
      </c>
      <c r="R93" s="72" t="s">
        <v>91</v>
      </c>
      <c r="U93" s="74" t="s">
        <v>343</v>
      </c>
    </row>
    <row r="94" ht="16.5" customHeight="1" spans="1:21">
      <c r="A94" s="69">
        <f t="shared" si="3"/>
        <v>90</v>
      </c>
      <c r="B94" s="69" t="s">
        <v>98</v>
      </c>
      <c r="C94" s="98" t="s">
        <v>329</v>
      </c>
      <c r="D94" s="69" t="s">
        <v>339</v>
      </c>
      <c r="E94" s="69" t="s">
        <v>151</v>
      </c>
      <c r="F94" s="107">
        <v>45696</v>
      </c>
      <c r="G94" s="69" t="s">
        <v>340</v>
      </c>
      <c r="H94" s="70" t="s">
        <v>344</v>
      </c>
      <c r="I94" s="70" t="s">
        <v>345</v>
      </c>
      <c r="J94" s="71" t="s">
        <v>109</v>
      </c>
      <c r="K94" s="71">
        <v>1</v>
      </c>
      <c r="L94" s="72">
        <v>0</v>
      </c>
      <c r="M94" s="72">
        <v>92</v>
      </c>
      <c r="N94" s="70">
        <v>0</v>
      </c>
      <c r="O94" s="70">
        <v>0</v>
      </c>
      <c r="P94" s="70">
        <v>0</v>
      </c>
      <c r="R94" s="72" t="s">
        <v>91</v>
      </c>
      <c r="U94" s="74" t="s">
        <v>346</v>
      </c>
    </row>
    <row r="95" ht="27.75" spans="1:21">
      <c r="A95" s="69">
        <f t="shared" si="3"/>
        <v>91</v>
      </c>
      <c r="B95" s="69" t="s">
        <v>98</v>
      </c>
      <c r="C95" s="98" t="s">
        <v>329</v>
      </c>
      <c r="D95" s="69" t="s">
        <v>347</v>
      </c>
      <c r="E95" s="69" t="s">
        <v>151</v>
      </c>
      <c r="F95" s="107">
        <v>45696</v>
      </c>
      <c r="G95" s="69" t="s">
        <v>340</v>
      </c>
      <c r="H95" s="70" t="s">
        <v>348</v>
      </c>
      <c r="I95" s="70" t="s">
        <v>349</v>
      </c>
      <c r="J95" s="71" t="s">
        <v>109</v>
      </c>
      <c r="K95" s="71">
        <v>1</v>
      </c>
      <c r="L95" s="72">
        <v>0</v>
      </c>
      <c r="M95" s="72">
        <v>30</v>
      </c>
      <c r="N95" s="70">
        <v>0</v>
      </c>
      <c r="O95" s="70">
        <v>0</v>
      </c>
      <c r="P95" s="70">
        <v>0</v>
      </c>
      <c r="R95" s="72" t="s">
        <v>91</v>
      </c>
      <c r="U95" s="74" t="s">
        <v>350</v>
      </c>
    </row>
    <row r="96" ht="13.9" spans="1:21">
      <c r="A96" s="69">
        <f t="shared" si="3"/>
        <v>92</v>
      </c>
      <c r="B96" s="69" t="s">
        <v>98</v>
      </c>
      <c r="C96" s="98" t="s">
        <v>329</v>
      </c>
      <c r="D96" s="69" t="s">
        <v>347</v>
      </c>
      <c r="E96" s="69" t="s">
        <v>151</v>
      </c>
      <c r="F96" s="107">
        <v>45696</v>
      </c>
      <c r="G96" s="69" t="s">
        <v>340</v>
      </c>
      <c r="H96" s="70" t="s">
        <v>351</v>
      </c>
      <c r="I96" s="70" t="s">
        <v>352</v>
      </c>
      <c r="J96" s="71" t="s">
        <v>90</v>
      </c>
      <c r="K96" s="71">
        <v>1</v>
      </c>
      <c r="L96" s="72">
        <v>1</v>
      </c>
      <c r="M96" s="72">
        <v>108</v>
      </c>
      <c r="N96" s="70">
        <v>108</v>
      </c>
      <c r="O96" s="70">
        <v>0</v>
      </c>
      <c r="P96" s="70">
        <v>0</v>
      </c>
      <c r="R96" s="72" t="s">
        <v>91</v>
      </c>
      <c r="T96" s="107">
        <v>45330</v>
      </c>
    </row>
    <row r="97" ht="27.75" spans="1:21">
      <c r="A97" s="69">
        <f t="shared" si="3"/>
        <v>93</v>
      </c>
      <c r="B97" s="69" t="s">
        <v>98</v>
      </c>
      <c r="C97" s="98" t="s">
        <v>329</v>
      </c>
      <c r="D97" s="69" t="s">
        <v>347</v>
      </c>
      <c r="E97" s="69" t="s">
        <v>151</v>
      </c>
      <c r="F97" s="107">
        <v>45696</v>
      </c>
      <c r="G97" s="69" t="s">
        <v>340</v>
      </c>
      <c r="H97" s="70" t="s">
        <v>353</v>
      </c>
      <c r="I97" s="70" t="s">
        <v>354</v>
      </c>
      <c r="J97" s="71" t="s">
        <v>90</v>
      </c>
      <c r="K97" s="71">
        <v>1</v>
      </c>
      <c r="L97" s="72">
        <v>1</v>
      </c>
      <c r="M97" s="72">
        <v>100</v>
      </c>
      <c r="N97" s="70">
        <v>100</v>
      </c>
      <c r="O97" s="70">
        <v>0</v>
      </c>
      <c r="P97" s="70">
        <v>0</v>
      </c>
      <c r="R97" s="72" t="s">
        <v>91</v>
      </c>
      <c r="T97" s="107">
        <v>45330</v>
      </c>
    </row>
    <row r="98" ht="13.9" spans="1:21">
      <c r="A98" s="69">
        <f t="shared" si="3"/>
        <v>94</v>
      </c>
      <c r="B98" s="69" t="s">
        <v>98</v>
      </c>
      <c r="C98" s="98" t="s">
        <v>355</v>
      </c>
      <c r="D98" s="69" t="s">
        <v>356</v>
      </c>
      <c r="E98" s="99" t="s">
        <v>126</v>
      </c>
      <c r="F98" s="73" t="s">
        <v>357</v>
      </c>
      <c r="G98" s="69" t="s">
        <v>272</v>
      </c>
      <c r="H98" s="70" t="s">
        <v>358</v>
      </c>
      <c r="I98" s="70" t="s">
        <v>359</v>
      </c>
      <c r="J98" s="100" t="s">
        <v>90</v>
      </c>
      <c r="K98" s="71">
        <v>1</v>
      </c>
      <c r="L98" s="72">
        <v>1</v>
      </c>
      <c r="M98" s="72">
        <v>35</v>
      </c>
      <c r="N98" s="70">
        <f>M98*L98</f>
        <v>35</v>
      </c>
      <c r="O98" s="70">
        <v>0</v>
      </c>
      <c r="P98" s="70">
        <v>0</v>
      </c>
      <c r="R98" s="102" t="s">
        <v>91</v>
      </c>
      <c r="T98" s="73" t="s">
        <v>357</v>
      </c>
    </row>
    <row r="99" ht="13.9" spans="1:21">
      <c r="A99" s="69">
        <f t="shared" si="3"/>
        <v>95</v>
      </c>
      <c r="B99" s="69" t="s">
        <v>98</v>
      </c>
      <c r="C99" s="69" t="s">
        <v>360</v>
      </c>
      <c r="D99" s="69" t="s">
        <v>361</v>
      </c>
      <c r="E99" s="99" t="s">
        <v>126</v>
      </c>
      <c r="F99" s="73" t="s">
        <v>357</v>
      </c>
      <c r="G99" s="69" t="s">
        <v>272</v>
      </c>
      <c r="H99" s="70" t="s">
        <v>362</v>
      </c>
      <c r="I99" s="70" t="s">
        <v>359</v>
      </c>
      <c r="J99" s="100" t="s">
        <v>90</v>
      </c>
      <c r="K99" s="71">
        <v>1</v>
      </c>
      <c r="L99" s="72">
        <v>1</v>
      </c>
      <c r="M99" s="72">
        <v>40</v>
      </c>
      <c r="N99" s="70">
        <f t="shared" ref="N99:N108" si="4">M99*L99</f>
        <v>40</v>
      </c>
      <c r="O99" s="70">
        <v>0</v>
      </c>
      <c r="P99" s="70">
        <v>0</v>
      </c>
      <c r="R99" s="102" t="s">
        <v>91</v>
      </c>
      <c r="T99" s="73" t="s">
        <v>357</v>
      </c>
    </row>
    <row r="100" ht="13.9" spans="1:21">
      <c r="A100" s="69">
        <f t="shared" si="3"/>
        <v>96</v>
      </c>
      <c r="B100" s="69" t="s">
        <v>98</v>
      </c>
      <c r="C100" s="69" t="s">
        <v>355</v>
      </c>
      <c r="D100" s="69" t="s">
        <v>363</v>
      </c>
      <c r="E100" s="99" t="s">
        <v>126</v>
      </c>
      <c r="F100" s="73" t="s">
        <v>357</v>
      </c>
      <c r="G100" s="69" t="s">
        <v>272</v>
      </c>
      <c r="H100" s="70" t="s">
        <v>364</v>
      </c>
      <c r="I100" s="70" t="s">
        <v>359</v>
      </c>
      <c r="J100" s="100" t="s">
        <v>90</v>
      </c>
      <c r="K100" s="71">
        <v>1</v>
      </c>
      <c r="L100" s="72">
        <v>1</v>
      </c>
      <c r="M100" s="72">
        <v>16</v>
      </c>
      <c r="N100" s="70">
        <f t="shared" si="4"/>
        <v>16</v>
      </c>
      <c r="O100" s="70">
        <v>0</v>
      </c>
      <c r="P100" s="70">
        <v>0</v>
      </c>
      <c r="R100" s="102" t="s">
        <v>91</v>
      </c>
      <c r="T100" s="73" t="s">
        <v>357</v>
      </c>
    </row>
    <row r="101" ht="13.9" spans="1:21">
      <c r="A101" s="69">
        <f t="shared" si="3"/>
        <v>97</v>
      </c>
      <c r="B101" s="69" t="s">
        <v>98</v>
      </c>
      <c r="C101" s="69" t="s">
        <v>360</v>
      </c>
      <c r="D101" s="69" t="s">
        <v>365</v>
      </c>
      <c r="E101" s="99" t="s">
        <v>126</v>
      </c>
      <c r="F101" s="73" t="s">
        <v>357</v>
      </c>
      <c r="G101" s="69" t="s">
        <v>272</v>
      </c>
      <c r="H101" s="70" t="s">
        <v>366</v>
      </c>
      <c r="I101" s="70" t="s">
        <v>359</v>
      </c>
      <c r="J101" s="100" t="s">
        <v>90</v>
      </c>
      <c r="K101" s="71">
        <v>1</v>
      </c>
      <c r="L101" s="72">
        <v>1</v>
      </c>
      <c r="M101" s="72">
        <v>6</v>
      </c>
      <c r="N101" s="70">
        <f t="shared" si="4"/>
        <v>6</v>
      </c>
      <c r="O101" s="70">
        <v>0</v>
      </c>
      <c r="P101" s="70">
        <v>0</v>
      </c>
      <c r="R101" s="102" t="s">
        <v>91</v>
      </c>
      <c r="T101" s="73" t="s">
        <v>357</v>
      </c>
    </row>
    <row r="102" ht="13.9" spans="1:21">
      <c r="A102" s="69">
        <f t="shared" si="3"/>
        <v>98</v>
      </c>
      <c r="B102" s="69" t="s">
        <v>98</v>
      </c>
      <c r="C102" s="69" t="s">
        <v>355</v>
      </c>
      <c r="D102" s="69" t="s">
        <v>367</v>
      </c>
      <c r="E102" s="99" t="s">
        <v>126</v>
      </c>
      <c r="F102" s="73" t="s">
        <v>357</v>
      </c>
      <c r="G102" s="69" t="s">
        <v>272</v>
      </c>
      <c r="H102" s="70" t="s">
        <v>368</v>
      </c>
      <c r="I102" s="70" t="s">
        <v>359</v>
      </c>
      <c r="J102" s="100" t="s">
        <v>109</v>
      </c>
      <c r="K102" s="71">
        <v>1</v>
      </c>
      <c r="L102" s="72">
        <v>0</v>
      </c>
      <c r="M102" s="72">
        <v>22</v>
      </c>
      <c r="N102" s="70">
        <f t="shared" si="4"/>
        <v>0</v>
      </c>
      <c r="O102" s="70">
        <v>0</v>
      </c>
      <c r="P102" s="70">
        <v>0</v>
      </c>
      <c r="R102" s="102" t="s">
        <v>91</v>
      </c>
      <c r="U102" s="74" t="s">
        <v>369</v>
      </c>
    </row>
    <row r="103" ht="13.9" spans="1:21">
      <c r="A103" s="69">
        <f t="shared" si="3"/>
        <v>99</v>
      </c>
      <c r="B103" s="69" t="s">
        <v>98</v>
      </c>
      <c r="C103" s="69" t="s">
        <v>360</v>
      </c>
      <c r="D103" s="69" t="s">
        <v>370</v>
      </c>
      <c r="E103" s="99" t="s">
        <v>126</v>
      </c>
      <c r="F103" s="73" t="s">
        <v>357</v>
      </c>
      <c r="G103" s="69" t="s">
        <v>272</v>
      </c>
      <c r="H103" s="70" t="s">
        <v>371</v>
      </c>
      <c r="I103" s="70" t="s">
        <v>359</v>
      </c>
      <c r="J103" s="100" t="s">
        <v>109</v>
      </c>
      <c r="K103" s="71">
        <v>1</v>
      </c>
      <c r="L103" s="72">
        <v>0</v>
      </c>
      <c r="M103" s="72">
        <v>21</v>
      </c>
      <c r="N103" s="70">
        <f t="shared" si="4"/>
        <v>0</v>
      </c>
      <c r="O103" s="70">
        <v>0</v>
      </c>
      <c r="P103" s="70">
        <v>0</v>
      </c>
      <c r="R103" s="102" t="s">
        <v>91</v>
      </c>
      <c r="U103" s="74" t="s">
        <v>369</v>
      </c>
    </row>
    <row r="104" ht="13.9" spans="1:21">
      <c r="A104" s="69">
        <f t="shared" si="3"/>
        <v>100</v>
      </c>
      <c r="B104" s="69" t="s">
        <v>98</v>
      </c>
      <c r="C104" s="98" t="s">
        <v>355</v>
      </c>
      <c r="D104" s="69" t="s">
        <v>367</v>
      </c>
      <c r="E104" s="99" t="s">
        <v>126</v>
      </c>
      <c r="F104" s="73" t="s">
        <v>357</v>
      </c>
      <c r="G104" s="69" t="s">
        <v>272</v>
      </c>
      <c r="H104" s="70" t="s">
        <v>372</v>
      </c>
      <c r="I104" s="70" t="s">
        <v>368</v>
      </c>
      <c r="J104" s="100" t="s">
        <v>90</v>
      </c>
      <c r="K104" s="71">
        <v>1</v>
      </c>
      <c r="L104" s="72">
        <v>1</v>
      </c>
      <c r="M104" s="72">
        <v>18</v>
      </c>
      <c r="N104" s="70">
        <f t="shared" si="4"/>
        <v>18</v>
      </c>
      <c r="O104" s="70">
        <v>0</v>
      </c>
      <c r="P104" s="70">
        <v>0</v>
      </c>
      <c r="R104" s="102" t="s">
        <v>91</v>
      </c>
      <c r="T104" s="73" t="s">
        <v>357</v>
      </c>
    </row>
    <row r="105" ht="13.9" spans="1:21">
      <c r="A105" s="69">
        <f t="shared" si="3"/>
        <v>101</v>
      </c>
      <c r="B105" s="69" t="s">
        <v>98</v>
      </c>
      <c r="C105" s="69" t="s">
        <v>360</v>
      </c>
      <c r="D105" s="69" t="s">
        <v>370</v>
      </c>
      <c r="E105" s="99" t="s">
        <v>126</v>
      </c>
      <c r="F105" s="73" t="s">
        <v>357</v>
      </c>
      <c r="G105" s="69" t="s">
        <v>272</v>
      </c>
      <c r="H105" s="70" t="s">
        <v>373</v>
      </c>
      <c r="I105" s="70" t="s">
        <v>371</v>
      </c>
      <c r="J105" s="100" t="s">
        <v>90</v>
      </c>
      <c r="K105" s="71">
        <v>1</v>
      </c>
      <c r="L105" s="72">
        <v>1</v>
      </c>
      <c r="M105" s="72">
        <v>18</v>
      </c>
      <c r="N105" s="70">
        <f t="shared" si="4"/>
        <v>18</v>
      </c>
      <c r="O105" s="70">
        <v>0</v>
      </c>
      <c r="P105" s="70">
        <v>0</v>
      </c>
      <c r="R105" s="102" t="s">
        <v>91</v>
      </c>
      <c r="T105" s="73" t="s">
        <v>357</v>
      </c>
    </row>
    <row r="106" ht="13.9" spans="1:21">
      <c r="A106" s="69">
        <f t="shared" si="3"/>
        <v>102</v>
      </c>
      <c r="B106" s="69" t="s">
        <v>98</v>
      </c>
      <c r="C106" s="69" t="s">
        <v>355</v>
      </c>
      <c r="D106" s="69" t="s">
        <v>374</v>
      </c>
      <c r="E106" s="99" t="s">
        <v>126</v>
      </c>
      <c r="F106" s="73" t="s">
        <v>357</v>
      </c>
      <c r="G106" s="69" t="s">
        <v>272</v>
      </c>
      <c r="H106" s="70" t="s">
        <v>375</v>
      </c>
      <c r="I106" s="70" t="s">
        <v>376</v>
      </c>
      <c r="J106" s="100" t="s">
        <v>90</v>
      </c>
      <c r="K106" s="71">
        <v>1</v>
      </c>
      <c r="L106" s="72">
        <v>1</v>
      </c>
      <c r="M106" s="72">
        <v>83</v>
      </c>
      <c r="N106" s="70">
        <f t="shared" si="4"/>
        <v>83</v>
      </c>
      <c r="O106" s="70">
        <v>0</v>
      </c>
      <c r="P106" s="70">
        <v>0</v>
      </c>
      <c r="R106" s="102" t="s">
        <v>91</v>
      </c>
      <c r="T106" s="73" t="s">
        <v>357</v>
      </c>
    </row>
    <row r="107" ht="13.9" spans="1:21">
      <c r="A107" s="69">
        <f t="shared" si="3"/>
        <v>103</v>
      </c>
      <c r="B107" s="69" t="s">
        <v>98</v>
      </c>
      <c r="C107" s="69" t="s">
        <v>360</v>
      </c>
      <c r="D107" s="69" t="s">
        <v>377</v>
      </c>
      <c r="E107" s="99" t="s">
        <v>126</v>
      </c>
      <c r="F107" s="73" t="s">
        <v>357</v>
      </c>
      <c r="G107" s="69" t="s">
        <v>272</v>
      </c>
      <c r="H107" s="70" t="s">
        <v>378</v>
      </c>
      <c r="I107" s="70" t="s">
        <v>379</v>
      </c>
      <c r="J107" s="100" t="s">
        <v>90</v>
      </c>
      <c r="K107" s="71">
        <v>1</v>
      </c>
      <c r="L107" s="72">
        <v>1</v>
      </c>
      <c r="M107" s="72">
        <v>88</v>
      </c>
      <c r="N107" s="70">
        <f t="shared" si="4"/>
        <v>88</v>
      </c>
      <c r="O107" s="70">
        <v>0</v>
      </c>
      <c r="P107" s="70">
        <v>0</v>
      </c>
      <c r="R107" s="102" t="s">
        <v>91</v>
      </c>
      <c r="T107" s="73" t="s">
        <v>357</v>
      </c>
    </row>
    <row r="108" ht="26.5" customHeight="1" spans="1:21">
      <c r="A108" s="69">
        <f t="shared" si="3"/>
        <v>104</v>
      </c>
      <c r="B108" s="69" t="s">
        <v>98</v>
      </c>
      <c r="C108" s="69" t="s">
        <v>360</v>
      </c>
      <c r="D108" s="69" t="s">
        <v>380</v>
      </c>
      <c r="E108" s="99" t="s">
        <v>126</v>
      </c>
      <c r="F108" s="73" t="s">
        <v>357</v>
      </c>
      <c r="G108" s="69" t="s">
        <v>272</v>
      </c>
      <c r="H108" s="70" t="s">
        <v>381</v>
      </c>
      <c r="I108" s="70" t="s">
        <v>382</v>
      </c>
      <c r="J108" s="100" t="s">
        <v>109</v>
      </c>
      <c r="K108" s="71">
        <v>1</v>
      </c>
      <c r="L108" s="72">
        <v>0</v>
      </c>
      <c r="M108" s="72">
        <v>30</v>
      </c>
      <c r="N108" s="70">
        <f t="shared" si="4"/>
        <v>0</v>
      </c>
      <c r="O108" s="70">
        <v>0</v>
      </c>
      <c r="P108" s="70">
        <v>0</v>
      </c>
      <c r="R108" s="102" t="s">
        <v>91</v>
      </c>
      <c r="U108" s="74" t="s">
        <v>383</v>
      </c>
    </row>
    <row r="109" ht="27.75" spans="1:21">
      <c r="A109" s="69">
        <f t="shared" si="3"/>
        <v>105</v>
      </c>
      <c r="B109" s="69" t="s">
        <v>148</v>
      </c>
      <c r="C109" s="98" t="s">
        <v>384</v>
      </c>
      <c r="D109" s="98" t="s">
        <v>385</v>
      </c>
      <c r="E109" s="69" t="s">
        <v>285</v>
      </c>
      <c r="F109" s="107">
        <v>45695</v>
      </c>
      <c r="G109" s="69" t="s">
        <v>262</v>
      </c>
      <c r="H109" s="70" t="s">
        <v>386</v>
      </c>
      <c r="I109" s="70" t="s">
        <v>387</v>
      </c>
      <c r="J109" s="71" t="s">
        <v>109</v>
      </c>
      <c r="K109" s="71">
        <v>1</v>
      </c>
      <c r="L109" s="72">
        <v>0</v>
      </c>
      <c r="M109" s="72">
        <v>5</v>
      </c>
      <c r="N109" s="72">
        <v>0</v>
      </c>
      <c r="O109" s="72">
        <v>0</v>
      </c>
      <c r="P109" s="72">
        <v>0</v>
      </c>
      <c r="R109" s="72" t="s">
        <v>91</v>
      </c>
      <c r="U109" s="74" t="s">
        <v>388</v>
      </c>
    </row>
    <row r="110" ht="27.75" spans="1:21">
      <c r="A110" s="69">
        <f t="shared" si="3"/>
        <v>106</v>
      </c>
      <c r="B110" s="69" t="s">
        <v>148</v>
      </c>
      <c r="C110" s="98" t="s">
        <v>384</v>
      </c>
      <c r="D110" s="98" t="s">
        <v>385</v>
      </c>
      <c r="E110" s="69" t="s">
        <v>285</v>
      </c>
      <c r="F110" s="107">
        <v>45695</v>
      </c>
      <c r="G110" s="69" t="s">
        <v>262</v>
      </c>
      <c r="H110" s="70" t="s">
        <v>389</v>
      </c>
      <c r="I110" s="70" t="s">
        <v>390</v>
      </c>
      <c r="J110" s="71" t="s">
        <v>109</v>
      </c>
      <c r="K110" s="71">
        <v>1</v>
      </c>
      <c r="L110" s="72">
        <v>0</v>
      </c>
      <c r="M110" s="72">
        <v>14</v>
      </c>
      <c r="N110" s="72">
        <v>0</v>
      </c>
      <c r="O110" s="72">
        <v>0</v>
      </c>
      <c r="P110" s="72">
        <v>0</v>
      </c>
      <c r="R110" s="72" t="s">
        <v>91</v>
      </c>
      <c r="U110" s="74" t="s">
        <v>391</v>
      </c>
    </row>
    <row r="111" ht="27.75" spans="1:21">
      <c r="A111" s="69">
        <f t="shared" si="3"/>
        <v>107</v>
      </c>
      <c r="B111" s="69" t="s">
        <v>148</v>
      </c>
      <c r="C111" s="98" t="s">
        <v>384</v>
      </c>
      <c r="D111" s="98" t="s">
        <v>385</v>
      </c>
      <c r="E111" s="69" t="s">
        <v>285</v>
      </c>
      <c r="F111" s="107">
        <v>45695</v>
      </c>
      <c r="G111" s="69" t="s">
        <v>262</v>
      </c>
      <c r="H111" s="70" t="s">
        <v>392</v>
      </c>
      <c r="I111" s="70" t="s">
        <v>393</v>
      </c>
      <c r="J111" s="71" t="s">
        <v>109</v>
      </c>
      <c r="K111" s="71">
        <v>1</v>
      </c>
      <c r="L111" s="72">
        <v>0</v>
      </c>
      <c r="M111" s="72">
        <v>54</v>
      </c>
      <c r="N111" s="72">
        <v>0</v>
      </c>
      <c r="O111" s="72">
        <v>0</v>
      </c>
      <c r="P111" s="72">
        <v>0</v>
      </c>
      <c r="R111" s="72" t="s">
        <v>91</v>
      </c>
      <c r="U111" s="74" t="s">
        <v>391</v>
      </c>
    </row>
    <row r="112" ht="13.9" spans="1:21">
      <c r="A112" s="69">
        <f t="shared" si="3"/>
        <v>108</v>
      </c>
      <c r="B112" s="69" t="s">
        <v>394</v>
      </c>
      <c r="C112" s="98" t="s">
        <v>395</v>
      </c>
      <c r="D112" s="69" t="s">
        <v>396</v>
      </c>
      <c r="E112" s="99" t="s">
        <v>126</v>
      </c>
      <c r="F112" s="73" t="s">
        <v>397</v>
      </c>
      <c r="G112" s="69" t="s">
        <v>272</v>
      </c>
      <c r="H112" s="70" t="s">
        <v>398</v>
      </c>
      <c r="I112" s="70" t="s">
        <v>359</v>
      </c>
      <c r="J112" s="100" t="s">
        <v>90</v>
      </c>
      <c r="K112" s="71">
        <v>1</v>
      </c>
      <c r="L112" s="72">
        <v>1</v>
      </c>
      <c r="M112" s="72">
        <v>4.54</v>
      </c>
      <c r="N112" s="70">
        <f>M112*L112</f>
        <v>4.54</v>
      </c>
      <c r="O112" s="70">
        <v>0</v>
      </c>
      <c r="P112" s="70">
        <v>0</v>
      </c>
      <c r="R112" s="102" t="s">
        <v>91</v>
      </c>
      <c r="T112" s="73" t="s">
        <v>397</v>
      </c>
    </row>
    <row r="113" ht="13.9" spans="1:21">
      <c r="A113" s="69">
        <f t="shared" si="3"/>
        <v>109</v>
      </c>
      <c r="B113" s="69" t="s">
        <v>394</v>
      </c>
      <c r="C113" s="98" t="s">
        <v>395</v>
      </c>
      <c r="D113" s="69" t="s">
        <v>396</v>
      </c>
      <c r="E113" s="99" t="s">
        <v>126</v>
      </c>
      <c r="F113" s="73" t="s">
        <v>397</v>
      </c>
      <c r="G113" s="69" t="s">
        <v>272</v>
      </c>
      <c r="H113" s="70" t="s">
        <v>399</v>
      </c>
      <c r="I113" s="70" t="s">
        <v>359</v>
      </c>
      <c r="J113" s="100" t="s">
        <v>90</v>
      </c>
      <c r="K113" s="71">
        <v>1</v>
      </c>
      <c r="L113" s="72">
        <v>1</v>
      </c>
      <c r="M113" s="72">
        <v>2.02</v>
      </c>
      <c r="N113" s="70">
        <f t="shared" ref="N113:N118" si="5">M113*L113</f>
        <v>2.02</v>
      </c>
      <c r="O113" s="70">
        <v>0</v>
      </c>
      <c r="P113" s="70">
        <v>0</v>
      </c>
      <c r="R113" s="102" t="s">
        <v>91</v>
      </c>
      <c r="T113" s="73" t="s">
        <v>397</v>
      </c>
    </row>
    <row r="114" ht="13.9" spans="1:21">
      <c r="A114" s="69">
        <f t="shared" si="3"/>
        <v>110</v>
      </c>
      <c r="B114" s="69" t="s">
        <v>394</v>
      </c>
      <c r="C114" s="98" t="s">
        <v>395</v>
      </c>
      <c r="D114" s="69" t="s">
        <v>396</v>
      </c>
      <c r="E114" s="99" t="s">
        <v>126</v>
      </c>
      <c r="F114" s="73" t="s">
        <v>397</v>
      </c>
      <c r="G114" s="69" t="s">
        <v>272</v>
      </c>
      <c r="H114" s="70" t="s">
        <v>400</v>
      </c>
      <c r="I114" s="70" t="s">
        <v>359</v>
      </c>
      <c r="J114" s="100" t="s">
        <v>90</v>
      </c>
      <c r="K114" s="71">
        <v>1</v>
      </c>
      <c r="L114" s="72">
        <v>1</v>
      </c>
      <c r="M114" s="72">
        <v>10.29</v>
      </c>
      <c r="N114" s="70">
        <f t="shared" si="5"/>
        <v>10.29</v>
      </c>
      <c r="O114" s="70">
        <v>0</v>
      </c>
      <c r="P114" s="70">
        <v>0</v>
      </c>
      <c r="R114" s="102" t="s">
        <v>91</v>
      </c>
      <c r="T114" s="73" t="s">
        <v>397</v>
      </c>
    </row>
    <row r="115" ht="13.9" spans="1:21">
      <c r="A115" s="69">
        <f t="shared" si="3"/>
        <v>111</v>
      </c>
      <c r="B115" s="69" t="s">
        <v>394</v>
      </c>
      <c r="C115" s="98" t="s">
        <v>395</v>
      </c>
      <c r="D115" s="69" t="s">
        <v>396</v>
      </c>
      <c r="E115" s="99" t="s">
        <v>126</v>
      </c>
      <c r="F115" s="73" t="s">
        <v>397</v>
      </c>
      <c r="G115" s="69" t="s">
        <v>272</v>
      </c>
      <c r="H115" s="70" t="s">
        <v>401</v>
      </c>
      <c r="I115" s="70" t="s">
        <v>359</v>
      </c>
      <c r="J115" s="100" t="s">
        <v>90</v>
      </c>
      <c r="K115" s="71">
        <v>1</v>
      </c>
      <c r="L115" s="72">
        <v>1</v>
      </c>
      <c r="M115" s="72">
        <v>3.48</v>
      </c>
      <c r="N115" s="70">
        <f t="shared" si="5"/>
        <v>3.48</v>
      </c>
      <c r="O115" s="70">
        <v>0</v>
      </c>
      <c r="P115" s="70">
        <v>0</v>
      </c>
      <c r="R115" s="102" t="s">
        <v>91</v>
      </c>
      <c r="T115" s="73" t="s">
        <v>397</v>
      </c>
    </row>
    <row r="116" ht="27.75" spans="1:21">
      <c r="A116" s="69">
        <f t="shared" si="3"/>
        <v>112</v>
      </c>
      <c r="B116" s="69" t="s">
        <v>394</v>
      </c>
      <c r="C116" s="98" t="s">
        <v>395</v>
      </c>
      <c r="D116" s="69" t="s">
        <v>396</v>
      </c>
      <c r="E116" s="99" t="s">
        <v>126</v>
      </c>
      <c r="F116" s="73" t="s">
        <v>397</v>
      </c>
      <c r="G116" s="69" t="s">
        <v>272</v>
      </c>
      <c r="H116" s="70" t="s">
        <v>402</v>
      </c>
      <c r="I116" s="70" t="s">
        <v>403</v>
      </c>
      <c r="J116" s="100" t="s">
        <v>90</v>
      </c>
      <c r="K116" s="71">
        <v>1</v>
      </c>
      <c r="L116" s="72">
        <v>1</v>
      </c>
      <c r="M116" s="72">
        <v>2</v>
      </c>
      <c r="N116" s="70">
        <f t="shared" si="5"/>
        <v>2</v>
      </c>
      <c r="O116" s="70">
        <v>0</v>
      </c>
      <c r="P116" s="70">
        <v>0</v>
      </c>
      <c r="R116" s="102" t="s">
        <v>91</v>
      </c>
      <c r="T116" s="73" t="s">
        <v>397</v>
      </c>
    </row>
    <row r="117" ht="13.9" spans="1:21">
      <c r="A117" s="69">
        <f t="shared" si="3"/>
        <v>113</v>
      </c>
      <c r="B117" s="69" t="s">
        <v>394</v>
      </c>
      <c r="C117" s="98" t="s">
        <v>395</v>
      </c>
      <c r="D117" s="69" t="s">
        <v>396</v>
      </c>
      <c r="E117" s="99" t="s">
        <v>126</v>
      </c>
      <c r="F117" s="73" t="s">
        <v>397</v>
      </c>
      <c r="G117" s="69" t="s">
        <v>272</v>
      </c>
      <c r="H117" s="70" t="s">
        <v>404</v>
      </c>
      <c r="I117" s="70" t="s">
        <v>405</v>
      </c>
      <c r="J117" s="100" t="s">
        <v>109</v>
      </c>
      <c r="K117" s="71">
        <v>1</v>
      </c>
      <c r="L117" s="72">
        <v>0</v>
      </c>
      <c r="M117" s="72">
        <v>12</v>
      </c>
      <c r="N117" s="70">
        <f t="shared" si="5"/>
        <v>0</v>
      </c>
      <c r="O117" s="70">
        <v>0</v>
      </c>
      <c r="P117" s="70">
        <v>0</v>
      </c>
      <c r="R117" s="102" t="s">
        <v>91</v>
      </c>
      <c r="T117" s="73" t="s">
        <v>397</v>
      </c>
      <c r="U117" s="74" t="s">
        <v>369</v>
      </c>
    </row>
    <row r="118" ht="27.75" spans="1:21">
      <c r="A118" s="69">
        <f t="shared" si="3"/>
        <v>114</v>
      </c>
      <c r="B118" s="69" t="s">
        <v>394</v>
      </c>
      <c r="C118" s="98" t="s">
        <v>395</v>
      </c>
      <c r="D118" s="69" t="s">
        <v>396</v>
      </c>
      <c r="E118" s="99" t="s">
        <v>126</v>
      </c>
      <c r="F118" s="73" t="s">
        <v>397</v>
      </c>
      <c r="G118" s="69" t="s">
        <v>272</v>
      </c>
      <c r="H118" s="70" t="s">
        <v>406</v>
      </c>
      <c r="I118" s="70" t="s">
        <v>405</v>
      </c>
      <c r="J118" s="100" t="s">
        <v>109</v>
      </c>
      <c r="K118" s="71">
        <v>1</v>
      </c>
      <c r="L118" s="72">
        <v>0</v>
      </c>
      <c r="M118" s="72">
        <v>6</v>
      </c>
      <c r="N118" s="70">
        <f t="shared" si="5"/>
        <v>0</v>
      </c>
      <c r="O118" s="70">
        <v>0</v>
      </c>
      <c r="P118" s="70">
        <v>0</v>
      </c>
      <c r="R118" s="102" t="s">
        <v>91</v>
      </c>
      <c r="T118" s="73" t="s">
        <v>397</v>
      </c>
      <c r="U118" s="74" t="s">
        <v>369</v>
      </c>
    </row>
    <row r="119" ht="41.65" spans="1:21">
      <c r="A119" s="69">
        <f t="shared" si="3"/>
        <v>115</v>
      </c>
      <c r="B119" s="69" t="s">
        <v>394</v>
      </c>
      <c r="C119" s="98" t="s">
        <v>395</v>
      </c>
      <c r="D119" s="69" t="s">
        <v>396</v>
      </c>
      <c r="E119" s="99" t="s">
        <v>126</v>
      </c>
      <c r="F119" s="73" t="s">
        <v>397</v>
      </c>
      <c r="G119" s="69" t="s">
        <v>272</v>
      </c>
      <c r="H119" s="70" t="s">
        <v>407</v>
      </c>
      <c r="I119" s="70" t="s">
        <v>382</v>
      </c>
      <c r="J119" s="100" t="s">
        <v>90</v>
      </c>
      <c r="K119" s="71">
        <v>1</v>
      </c>
      <c r="L119" s="72">
        <v>1</v>
      </c>
      <c r="M119" s="72">
        <v>4.4</v>
      </c>
      <c r="N119" s="70">
        <f>M119</f>
        <v>4.4</v>
      </c>
      <c r="O119" s="70">
        <v>0</v>
      </c>
      <c r="P119" s="70">
        <v>0</v>
      </c>
      <c r="R119" s="102" t="s">
        <v>91</v>
      </c>
      <c r="T119" s="73" t="s">
        <v>397</v>
      </c>
    </row>
    <row r="120" ht="13.9" spans="1:21">
      <c r="A120" s="69">
        <f t="shared" si="3"/>
        <v>116</v>
      </c>
      <c r="B120" s="69" t="s">
        <v>394</v>
      </c>
      <c r="C120" s="98" t="s">
        <v>408</v>
      </c>
      <c r="D120" s="69" t="s">
        <v>84</v>
      </c>
      <c r="E120" s="99" t="s">
        <v>126</v>
      </c>
      <c r="F120" s="73" t="s">
        <v>409</v>
      </c>
      <c r="G120" s="69" t="s">
        <v>87</v>
      </c>
      <c r="H120" s="70" t="s">
        <v>410</v>
      </c>
      <c r="I120" s="70" t="s">
        <v>411</v>
      </c>
      <c r="J120" s="100" t="s">
        <v>90</v>
      </c>
      <c r="K120" s="71">
        <v>1</v>
      </c>
      <c r="L120" s="72">
        <v>1</v>
      </c>
      <c r="M120" s="112">
        <v>4.51366241474619</v>
      </c>
      <c r="N120" s="113">
        <f>M120*L120</f>
        <v>4.51366241474619</v>
      </c>
      <c r="O120" s="70">
        <v>0</v>
      </c>
      <c r="P120" s="70">
        <v>0</v>
      </c>
      <c r="R120" s="102" t="s">
        <v>91</v>
      </c>
      <c r="T120" s="73" t="s">
        <v>409</v>
      </c>
    </row>
    <row r="121" ht="13.9" spans="1:21">
      <c r="A121" s="69">
        <f t="shared" si="3"/>
        <v>117</v>
      </c>
      <c r="B121" s="69" t="s">
        <v>394</v>
      </c>
      <c r="C121" s="98" t="s">
        <v>408</v>
      </c>
      <c r="D121" s="69" t="s">
        <v>84</v>
      </c>
      <c r="E121" s="99" t="s">
        <v>126</v>
      </c>
      <c r="F121" s="73" t="s">
        <v>409</v>
      </c>
      <c r="G121" s="69" t="s">
        <v>87</v>
      </c>
      <c r="H121" s="70" t="s">
        <v>412</v>
      </c>
      <c r="I121" s="70" t="s">
        <v>413</v>
      </c>
      <c r="J121" s="100" t="s">
        <v>90</v>
      </c>
      <c r="K121" s="71">
        <v>1</v>
      </c>
      <c r="L121" s="72">
        <v>1</v>
      </c>
      <c r="M121" s="112">
        <v>4.4146785898614</v>
      </c>
      <c r="N121" s="113">
        <f t="shared" ref="N121:N128" si="6">M121*L121</f>
        <v>4.4146785898614</v>
      </c>
      <c r="O121" s="70">
        <v>0</v>
      </c>
      <c r="P121" s="70">
        <v>0</v>
      </c>
      <c r="R121" s="102" t="s">
        <v>91</v>
      </c>
      <c r="T121" s="73" t="s">
        <v>409</v>
      </c>
    </row>
    <row r="122" ht="13.9" spans="1:21">
      <c r="A122" s="69">
        <f t="shared" si="3"/>
        <v>118</v>
      </c>
      <c r="B122" s="69" t="s">
        <v>394</v>
      </c>
      <c r="C122" s="98" t="s">
        <v>408</v>
      </c>
      <c r="D122" s="69" t="s">
        <v>84</v>
      </c>
      <c r="E122" s="99" t="s">
        <v>126</v>
      </c>
      <c r="F122" s="73" t="s">
        <v>409</v>
      </c>
      <c r="G122" s="69" t="s">
        <v>87</v>
      </c>
      <c r="H122" s="70" t="s">
        <v>414</v>
      </c>
      <c r="I122" s="70" t="s">
        <v>93</v>
      </c>
      <c r="J122" s="100" t="s">
        <v>90</v>
      </c>
      <c r="K122" s="71">
        <v>1</v>
      </c>
      <c r="L122" s="72">
        <v>1</v>
      </c>
      <c r="M122" s="112">
        <v>5.71346806407167</v>
      </c>
      <c r="N122" s="113">
        <f t="shared" si="6"/>
        <v>5.71346806407167</v>
      </c>
      <c r="O122" s="70">
        <v>6</v>
      </c>
      <c r="P122" s="70">
        <v>0</v>
      </c>
      <c r="R122" s="102" t="s">
        <v>91</v>
      </c>
      <c r="T122" s="73" t="s">
        <v>409</v>
      </c>
    </row>
    <row r="123" ht="13.9" spans="1:21">
      <c r="A123" s="69">
        <f t="shared" si="3"/>
        <v>119</v>
      </c>
      <c r="B123" s="69" t="s">
        <v>394</v>
      </c>
      <c r="C123" s="98" t="s">
        <v>408</v>
      </c>
      <c r="D123" s="69" t="s">
        <v>84</v>
      </c>
      <c r="E123" s="99" t="s">
        <v>126</v>
      </c>
      <c r="F123" s="73" t="s">
        <v>409</v>
      </c>
      <c r="G123" s="69" t="s">
        <v>87</v>
      </c>
      <c r="H123" s="70" t="s">
        <v>415</v>
      </c>
      <c r="I123" s="70" t="s">
        <v>93</v>
      </c>
      <c r="J123" s="100" t="s">
        <v>90</v>
      </c>
      <c r="K123" s="71">
        <v>1</v>
      </c>
      <c r="L123" s="72">
        <v>1</v>
      </c>
      <c r="M123" s="112">
        <v>5.96940209155287</v>
      </c>
      <c r="N123" s="113">
        <f t="shared" si="6"/>
        <v>5.96940209155287</v>
      </c>
      <c r="O123" s="70">
        <v>6</v>
      </c>
      <c r="P123" s="70">
        <v>0</v>
      </c>
      <c r="R123" s="102" t="s">
        <v>91</v>
      </c>
      <c r="T123" s="73" t="s">
        <v>409</v>
      </c>
    </row>
    <row r="124" ht="13.9" spans="1:21">
      <c r="A124" s="69">
        <f t="shared" si="3"/>
        <v>120</v>
      </c>
      <c r="B124" s="69" t="s">
        <v>394</v>
      </c>
      <c r="C124" s="98" t="s">
        <v>408</v>
      </c>
      <c r="D124" s="69" t="s">
        <v>84</v>
      </c>
      <c r="E124" s="99" t="s">
        <v>126</v>
      </c>
      <c r="F124" s="73" t="s">
        <v>409</v>
      </c>
      <c r="G124" s="69" t="s">
        <v>87</v>
      </c>
      <c r="H124" s="70" t="s">
        <v>92</v>
      </c>
      <c r="I124" s="70" t="s">
        <v>416</v>
      </c>
      <c r="J124" s="100" t="s">
        <v>90</v>
      </c>
      <c r="K124" s="71">
        <v>1</v>
      </c>
      <c r="L124" s="72">
        <v>1</v>
      </c>
      <c r="M124" s="112">
        <v>1.2</v>
      </c>
      <c r="N124" s="113">
        <f t="shared" si="6"/>
        <v>1.2</v>
      </c>
      <c r="O124" s="70">
        <v>0</v>
      </c>
      <c r="P124" s="70">
        <v>0</v>
      </c>
      <c r="R124" s="102" t="s">
        <v>91</v>
      </c>
      <c r="T124" s="73" t="s">
        <v>409</v>
      </c>
    </row>
    <row r="125" ht="13.9" spans="1:21">
      <c r="A125" s="69">
        <f t="shared" si="3"/>
        <v>121</v>
      </c>
      <c r="B125" s="69" t="s">
        <v>394</v>
      </c>
      <c r="C125" s="98" t="s">
        <v>408</v>
      </c>
      <c r="D125" s="69" t="s">
        <v>84</v>
      </c>
      <c r="E125" s="99" t="s">
        <v>126</v>
      </c>
      <c r="F125" s="73" t="s">
        <v>409</v>
      </c>
      <c r="G125" s="69" t="s">
        <v>87</v>
      </c>
      <c r="H125" s="70" t="s">
        <v>417</v>
      </c>
      <c r="I125" s="70" t="s">
        <v>418</v>
      </c>
      <c r="J125" s="100" t="s">
        <v>90</v>
      </c>
      <c r="K125" s="71">
        <v>1</v>
      </c>
      <c r="L125" s="72">
        <v>1</v>
      </c>
      <c r="M125" s="112">
        <v>1.5</v>
      </c>
      <c r="N125" s="113">
        <f t="shared" si="6"/>
        <v>1.5</v>
      </c>
      <c r="O125" s="70">
        <v>0</v>
      </c>
      <c r="P125" s="70">
        <v>0</v>
      </c>
      <c r="R125" s="102" t="s">
        <v>91</v>
      </c>
      <c r="T125" s="73" t="s">
        <v>409</v>
      </c>
    </row>
    <row r="126" ht="15.65" customHeight="1" spans="1:21">
      <c r="A126" s="69">
        <f t="shared" si="3"/>
        <v>122</v>
      </c>
      <c r="B126" s="69" t="s">
        <v>394</v>
      </c>
      <c r="C126" s="98" t="s">
        <v>408</v>
      </c>
      <c r="D126" s="69" t="s">
        <v>84</v>
      </c>
      <c r="E126" s="99" t="s">
        <v>126</v>
      </c>
      <c r="F126" s="73" t="s">
        <v>409</v>
      </c>
      <c r="G126" s="69" t="s">
        <v>87</v>
      </c>
      <c r="H126" s="70" t="s">
        <v>419</v>
      </c>
      <c r="I126" s="70" t="s">
        <v>420</v>
      </c>
      <c r="J126" s="100" t="s">
        <v>109</v>
      </c>
      <c r="K126" s="71">
        <v>1</v>
      </c>
      <c r="L126" s="72">
        <v>0</v>
      </c>
      <c r="M126" s="112">
        <v>1.76082298474216</v>
      </c>
      <c r="N126" s="113">
        <f t="shared" si="6"/>
        <v>0</v>
      </c>
      <c r="O126" s="70">
        <v>0</v>
      </c>
      <c r="P126" s="70">
        <v>0</v>
      </c>
      <c r="R126" s="102"/>
      <c r="U126" s="114" t="s">
        <v>421</v>
      </c>
    </row>
    <row r="127" ht="15.65" customHeight="1" spans="1:21">
      <c r="A127" s="69">
        <f t="shared" si="3"/>
        <v>123</v>
      </c>
      <c r="B127" s="69" t="s">
        <v>394</v>
      </c>
      <c r="C127" s="98" t="s">
        <v>408</v>
      </c>
      <c r="D127" s="69" t="s">
        <v>84</v>
      </c>
      <c r="E127" s="99" t="s">
        <v>126</v>
      </c>
      <c r="F127" s="73" t="s">
        <v>409</v>
      </c>
      <c r="G127" s="69" t="s">
        <v>87</v>
      </c>
      <c r="H127" s="70" t="s">
        <v>419</v>
      </c>
      <c r="I127" s="70" t="s">
        <v>422</v>
      </c>
      <c r="J127" s="100" t="s">
        <v>109</v>
      </c>
      <c r="K127" s="71">
        <v>1</v>
      </c>
      <c r="L127" s="72">
        <v>0</v>
      </c>
      <c r="M127" s="112">
        <v>0.8</v>
      </c>
      <c r="N127" s="113">
        <f t="shared" si="6"/>
        <v>0</v>
      </c>
      <c r="O127" s="70">
        <v>0</v>
      </c>
      <c r="P127" s="70">
        <v>0</v>
      </c>
      <c r="R127" s="102"/>
      <c r="U127" s="115" t="s">
        <v>423</v>
      </c>
    </row>
    <row r="128" ht="16.5" customHeight="1" spans="1:21">
      <c r="A128" s="69">
        <f t="shared" si="3"/>
        <v>124</v>
      </c>
      <c r="B128" s="69" t="s">
        <v>394</v>
      </c>
      <c r="C128" s="98" t="s">
        <v>408</v>
      </c>
      <c r="D128" s="69" t="s">
        <v>84</v>
      </c>
      <c r="E128" s="99" t="s">
        <v>126</v>
      </c>
      <c r="F128" s="73" t="s">
        <v>409</v>
      </c>
      <c r="G128" s="69" t="s">
        <v>87</v>
      </c>
      <c r="H128" s="70" t="s">
        <v>97</v>
      </c>
      <c r="I128" s="70" t="s">
        <v>96</v>
      </c>
      <c r="J128" s="100" t="s">
        <v>90</v>
      </c>
      <c r="K128" s="71">
        <v>1</v>
      </c>
      <c r="L128" s="72">
        <v>1</v>
      </c>
      <c r="M128" s="112">
        <v>5.33</v>
      </c>
      <c r="N128" s="113">
        <f t="shared" si="6"/>
        <v>5.33</v>
      </c>
      <c r="O128" s="70">
        <v>1</v>
      </c>
      <c r="P128" s="70">
        <v>0</v>
      </c>
      <c r="R128" s="102" t="s">
        <v>91</v>
      </c>
      <c r="T128" s="73" t="s">
        <v>409</v>
      </c>
    </row>
    <row r="129" ht="41.65" spans="1:21">
      <c r="A129" s="69">
        <f t="shared" si="3"/>
        <v>125</v>
      </c>
      <c r="B129" s="69" t="s">
        <v>424</v>
      </c>
      <c r="C129" s="98" t="s">
        <v>425</v>
      </c>
      <c r="D129" s="69" t="s">
        <v>426</v>
      </c>
      <c r="E129" s="69" t="s">
        <v>151</v>
      </c>
      <c r="F129" s="73">
        <v>45364</v>
      </c>
      <c r="G129" s="69" t="s">
        <v>152</v>
      </c>
      <c r="H129" s="70" t="s">
        <v>427</v>
      </c>
      <c r="I129" s="70" t="s">
        <v>428</v>
      </c>
      <c r="J129" s="71" t="s">
        <v>109</v>
      </c>
      <c r="K129" s="71">
        <v>1</v>
      </c>
      <c r="L129" s="72">
        <v>0</v>
      </c>
      <c r="M129" s="72">
        <v>14.49</v>
      </c>
      <c r="N129" s="70">
        <v>0</v>
      </c>
      <c r="O129" s="70">
        <v>5</v>
      </c>
      <c r="P129" s="70">
        <v>0</v>
      </c>
      <c r="R129" s="72" t="s">
        <v>91</v>
      </c>
      <c r="U129" s="74" t="s">
        <v>161</v>
      </c>
    </row>
    <row r="130" ht="41.65" spans="1:21">
      <c r="A130" s="69">
        <f t="shared" si="3"/>
        <v>126</v>
      </c>
      <c r="B130" s="69" t="s">
        <v>424</v>
      </c>
      <c r="C130" s="69" t="s">
        <v>429</v>
      </c>
      <c r="D130" s="69" t="s">
        <v>430</v>
      </c>
      <c r="E130" s="69" t="s">
        <v>151</v>
      </c>
      <c r="F130" s="73">
        <v>45364</v>
      </c>
      <c r="G130" s="69" t="s">
        <v>152</v>
      </c>
      <c r="H130" s="70" t="s">
        <v>431</v>
      </c>
      <c r="I130" s="70" t="s">
        <v>428</v>
      </c>
      <c r="J130" s="71" t="s">
        <v>109</v>
      </c>
      <c r="K130" s="71">
        <v>1</v>
      </c>
      <c r="L130" s="72">
        <v>0</v>
      </c>
      <c r="M130" s="72">
        <v>18.19</v>
      </c>
      <c r="N130" s="70">
        <v>0</v>
      </c>
      <c r="O130" s="70">
        <v>0</v>
      </c>
      <c r="P130" s="70">
        <v>0</v>
      </c>
      <c r="R130" s="72" t="s">
        <v>91</v>
      </c>
      <c r="U130" s="74" t="s">
        <v>161</v>
      </c>
    </row>
    <row r="131" ht="13.9" spans="1:21">
      <c r="A131" s="69">
        <f t="shared" si="3"/>
        <v>127</v>
      </c>
      <c r="B131" s="69" t="s">
        <v>98</v>
      </c>
      <c r="C131" s="69" t="s">
        <v>432</v>
      </c>
      <c r="D131" s="69" t="s">
        <v>197</v>
      </c>
      <c r="E131" s="69" t="s">
        <v>151</v>
      </c>
      <c r="F131" s="73">
        <v>45369</v>
      </c>
      <c r="G131" s="69" t="s">
        <v>152</v>
      </c>
      <c r="H131" s="70" t="s">
        <v>433</v>
      </c>
      <c r="I131" s="70" t="s">
        <v>434</v>
      </c>
      <c r="J131" s="71" t="s">
        <v>109</v>
      </c>
      <c r="K131" s="71">
        <v>1</v>
      </c>
      <c r="L131" s="72">
        <v>0</v>
      </c>
      <c r="M131" s="72">
        <v>52</v>
      </c>
      <c r="N131" s="70">
        <v>0</v>
      </c>
      <c r="O131" s="70">
        <v>0</v>
      </c>
      <c r="P131" s="70">
        <v>0</v>
      </c>
      <c r="R131" s="72" t="s">
        <v>91</v>
      </c>
      <c r="U131" s="74" t="s">
        <v>161</v>
      </c>
    </row>
    <row r="132" ht="16.5" customHeight="1" spans="1:21">
      <c r="A132" s="69">
        <f t="shared" si="3"/>
        <v>128</v>
      </c>
      <c r="B132" s="69" t="s">
        <v>98</v>
      </c>
      <c r="C132" s="69" t="s">
        <v>432</v>
      </c>
      <c r="D132" s="69" t="s">
        <v>197</v>
      </c>
      <c r="E132" s="69" t="s">
        <v>151</v>
      </c>
      <c r="F132" s="73">
        <v>45369</v>
      </c>
      <c r="G132" s="69" t="s">
        <v>152</v>
      </c>
      <c r="H132" s="70" t="s">
        <v>435</v>
      </c>
      <c r="I132" s="70" t="s">
        <v>436</v>
      </c>
      <c r="J132" s="71" t="s">
        <v>90</v>
      </c>
      <c r="K132" s="71">
        <v>1</v>
      </c>
      <c r="L132" s="72">
        <v>1</v>
      </c>
      <c r="M132" s="72">
        <v>9</v>
      </c>
      <c r="N132" s="70">
        <v>9</v>
      </c>
      <c r="O132" s="70">
        <v>0</v>
      </c>
      <c r="P132" s="70">
        <v>0</v>
      </c>
      <c r="R132" s="72" t="s">
        <v>91</v>
      </c>
    </row>
    <row r="133" ht="13.9" spans="1:21">
      <c r="A133" s="69">
        <f t="shared" ref="A133:A196" si="7">ROW()-4</f>
        <v>129</v>
      </c>
      <c r="B133" s="69" t="s">
        <v>98</v>
      </c>
      <c r="C133" s="69" t="s">
        <v>432</v>
      </c>
      <c r="D133" s="69" t="s">
        <v>197</v>
      </c>
      <c r="E133" s="69" t="s">
        <v>151</v>
      </c>
      <c r="F133" s="73">
        <v>45369</v>
      </c>
      <c r="G133" s="69" t="s">
        <v>152</v>
      </c>
      <c r="H133" s="70" t="s">
        <v>437</v>
      </c>
      <c r="I133" s="70" t="s">
        <v>438</v>
      </c>
      <c r="J133" s="71" t="s">
        <v>90</v>
      </c>
      <c r="K133" s="71">
        <v>1</v>
      </c>
      <c r="L133" s="72">
        <v>1</v>
      </c>
      <c r="M133" s="72">
        <v>179</v>
      </c>
      <c r="N133" s="70">
        <v>179</v>
      </c>
      <c r="O133" s="70">
        <v>10</v>
      </c>
      <c r="P133" s="70">
        <v>0</v>
      </c>
      <c r="R133" s="72" t="s">
        <v>91</v>
      </c>
    </row>
    <row r="134" ht="27.75" spans="1:21">
      <c r="A134" s="69">
        <f t="shared" si="7"/>
        <v>130</v>
      </c>
      <c r="B134" s="69" t="s">
        <v>98</v>
      </c>
      <c r="C134" s="69" t="s">
        <v>432</v>
      </c>
      <c r="D134" s="69" t="s">
        <v>197</v>
      </c>
      <c r="E134" s="69" t="s">
        <v>151</v>
      </c>
      <c r="F134" s="73">
        <v>45369</v>
      </c>
      <c r="G134" s="69" t="s">
        <v>152</v>
      </c>
      <c r="H134" s="70" t="s">
        <v>439</v>
      </c>
      <c r="I134" s="70" t="s">
        <v>440</v>
      </c>
      <c r="J134" s="71" t="s">
        <v>109</v>
      </c>
      <c r="K134" s="71">
        <v>1</v>
      </c>
      <c r="L134" s="72">
        <v>0</v>
      </c>
      <c r="M134" s="72">
        <v>20</v>
      </c>
      <c r="N134" s="70">
        <v>0</v>
      </c>
      <c r="O134" s="70">
        <v>0</v>
      </c>
      <c r="P134" s="70">
        <v>0</v>
      </c>
      <c r="R134" s="72" t="s">
        <v>91</v>
      </c>
      <c r="U134" s="74" t="s">
        <v>161</v>
      </c>
    </row>
    <row r="135" ht="13.9" spans="1:21">
      <c r="A135" s="69">
        <f t="shared" si="7"/>
        <v>131</v>
      </c>
      <c r="B135" s="69" t="s">
        <v>98</v>
      </c>
      <c r="C135" s="69" t="s">
        <v>432</v>
      </c>
      <c r="D135" s="69" t="s">
        <v>197</v>
      </c>
      <c r="E135" s="69" t="s">
        <v>151</v>
      </c>
      <c r="F135" s="73">
        <v>45369</v>
      </c>
      <c r="G135" s="69" t="s">
        <v>152</v>
      </c>
      <c r="H135" s="70" t="s">
        <v>441</v>
      </c>
      <c r="I135" s="70" t="s">
        <v>442</v>
      </c>
      <c r="J135" s="71" t="s">
        <v>90</v>
      </c>
      <c r="K135" s="71">
        <v>1</v>
      </c>
      <c r="L135" s="72">
        <v>1</v>
      </c>
      <c r="M135" s="72">
        <v>11</v>
      </c>
      <c r="N135" s="70">
        <v>11</v>
      </c>
      <c r="O135" s="70">
        <v>0</v>
      </c>
      <c r="P135" s="70">
        <v>0</v>
      </c>
      <c r="R135" s="72" t="s">
        <v>91</v>
      </c>
    </row>
    <row r="136" ht="13.9" spans="1:21">
      <c r="A136" s="69">
        <f t="shared" si="7"/>
        <v>132</v>
      </c>
      <c r="B136" s="69" t="s">
        <v>98</v>
      </c>
      <c r="C136" s="69" t="s">
        <v>432</v>
      </c>
      <c r="D136" s="69" t="s">
        <v>197</v>
      </c>
      <c r="E136" s="69" t="s">
        <v>151</v>
      </c>
      <c r="F136" s="73">
        <v>45369</v>
      </c>
      <c r="G136" s="69" t="s">
        <v>152</v>
      </c>
      <c r="H136" s="70" t="s">
        <v>443</v>
      </c>
      <c r="I136" s="70" t="s">
        <v>207</v>
      </c>
      <c r="J136" s="71" t="s">
        <v>109</v>
      </c>
      <c r="K136" s="71">
        <v>1</v>
      </c>
      <c r="L136" s="72">
        <v>0</v>
      </c>
      <c r="M136" s="72">
        <v>3</v>
      </c>
      <c r="N136" s="70">
        <v>0</v>
      </c>
      <c r="O136" s="70">
        <v>0</v>
      </c>
      <c r="P136" s="70">
        <v>0</v>
      </c>
      <c r="R136" s="72" t="s">
        <v>91</v>
      </c>
      <c r="U136" s="74" t="s">
        <v>444</v>
      </c>
    </row>
    <row r="137" ht="13.9" spans="1:21">
      <c r="A137" s="69">
        <f t="shared" si="7"/>
        <v>133</v>
      </c>
      <c r="B137" s="69" t="s">
        <v>148</v>
      </c>
      <c r="C137" s="98" t="s">
        <v>445</v>
      </c>
      <c r="D137" s="69" t="s">
        <v>446</v>
      </c>
      <c r="E137" s="69" t="s">
        <v>151</v>
      </c>
      <c r="F137" s="73" t="s">
        <v>447</v>
      </c>
      <c r="G137" s="69" t="s">
        <v>87</v>
      </c>
      <c r="H137" s="70" t="s">
        <v>448</v>
      </c>
      <c r="I137" s="70" t="s">
        <v>449</v>
      </c>
      <c r="J137" s="71" t="s">
        <v>109</v>
      </c>
      <c r="K137" s="71">
        <v>1</v>
      </c>
      <c r="L137" s="72">
        <v>0</v>
      </c>
      <c r="M137" s="72">
        <v>8.07</v>
      </c>
      <c r="N137" s="72">
        <v>0</v>
      </c>
      <c r="O137" s="72">
        <v>0</v>
      </c>
      <c r="P137" s="70">
        <v>0</v>
      </c>
      <c r="R137" s="102" t="s">
        <v>91</v>
      </c>
      <c r="U137" s="74" t="s">
        <v>450</v>
      </c>
    </row>
    <row r="138" ht="13.9" spans="1:21">
      <c r="A138" s="69">
        <f t="shared" si="7"/>
        <v>134</v>
      </c>
      <c r="B138" s="69" t="s">
        <v>148</v>
      </c>
      <c r="C138" s="98" t="s">
        <v>451</v>
      </c>
      <c r="D138" s="69" t="s">
        <v>446</v>
      </c>
      <c r="E138" s="69" t="s">
        <v>151</v>
      </c>
      <c r="F138" s="73" t="s">
        <v>447</v>
      </c>
      <c r="G138" s="69" t="s">
        <v>87</v>
      </c>
      <c r="H138" s="70" t="s">
        <v>448</v>
      </c>
      <c r="I138" s="70" t="s">
        <v>449</v>
      </c>
      <c r="J138" s="71" t="s">
        <v>109</v>
      </c>
      <c r="K138" s="71">
        <v>1</v>
      </c>
      <c r="L138" s="72">
        <v>0</v>
      </c>
      <c r="M138" s="72">
        <v>8.07</v>
      </c>
      <c r="N138" s="72">
        <v>0</v>
      </c>
      <c r="O138" s="72">
        <v>0</v>
      </c>
      <c r="P138" s="70">
        <v>0</v>
      </c>
      <c r="R138" s="102" t="s">
        <v>91</v>
      </c>
      <c r="U138" s="74" t="s">
        <v>450</v>
      </c>
    </row>
    <row r="139" ht="13.9" spans="1:21">
      <c r="A139" s="69">
        <f t="shared" si="7"/>
        <v>135</v>
      </c>
      <c r="B139" s="69" t="s">
        <v>148</v>
      </c>
      <c r="C139" s="98" t="s">
        <v>445</v>
      </c>
      <c r="D139" s="69" t="s">
        <v>446</v>
      </c>
      <c r="E139" s="69" t="s">
        <v>151</v>
      </c>
      <c r="F139" s="73" t="s">
        <v>447</v>
      </c>
      <c r="G139" s="69" t="s">
        <v>87</v>
      </c>
      <c r="H139" s="70" t="s">
        <v>452</v>
      </c>
      <c r="I139" s="70" t="s">
        <v>359</v>
      </c>
      <c r="J139" s="71" t="s">
        <v>109</v>
      </c>
      <c r="K139" s="71">
        <v>1</v>
      </c>
      <c r="L139" s="72">
        <v>0</v>
      </c>
      <c r="M139" s="72">
        <f>19.21*2</f>
        <v>38.42</v>
      </c>
      <c r="N139" s="72">
        <v>0</v>
      </c>
      <c r="O139" s="72">
        <v>0</v>
      </c>
      <c r="P139" s="70">
        <v>0</v>
      </c>
      <c r="R139" s="102" t="s">
        <v>91</v>
      </c>
      <c r="U139" s="74" t="s">
        <v>369</v>
      </c>
    </row>
    <row r="140" ht="13.9" spans="1:21">
      <c r="A140" s="69">
        <f t="shared" si="7"/>
        <v>136</v>
      </c>
      <c r="B140" s="69" t="s">
        <v>148</v>
      </c>
      <c r="C140" s="98" t="s">
        <v>451</v>
      </c>
      <c r="D140" s="69" t="s">
        <v>446</v>
      </c>
      <c r="E140" s="69" t="s">
        <v>151</v>
      </c>
      <c r="F140" s="73" t="s">
        <v>447</v>
      </c>
      <c r="G140" s="69" t="s">
        <v>87</v>
      </c>
      <c r="H140" s="70" t="s">
        <v>453</v>
      </c>
      <c r="I140" s="70" t="s">
        <v>454</v>
      </c>
      <c r="J140" s="71" t="s">
        <v>109</v>
      </c>
      <c r="K140" s="71">
        <v>1</v>
      </c>
      <c r="L140" s="72">
        <v>0</v>
      </c>
      <c r="M140" s="72">
        <f>1.09*2</f>
        <v>2.18</v>
      </c>
      <c r="N140" s="72">
        <v>0</v>
      </c>
      <c r="O140" s="72">
        <v>0</v>
      </c>
      <c r="P140" s="70">
        <v>0</v>
      </c>
      <c r="R140" s="102" t="s">
        <v>91</v>
      </c>
      <c r="U140" s="74" t="s">
        <v>455</v>
      </c>
    </row>
    <row r="141" ht="13.9" spans="1:21">
      <c r="A141" s="69">
        <f t="shared" si="7"/>
        <v>137</v>
      </c>
      <c r="B141" s="69" t="s">
        <v>148</v>
      </c>
      <c r="C141" s="98" t="s">
        <v>451</v>
      </c>
      <c r="D141" s="69" t="s">
        <v>446</v>
      </c>
      <c r="E141" s="69" t="s">
        <v>151</v>
      </c>
      <c r="F141" s="73" t="s">
        <v>447</v>
      </c>
      <c r="G141" s="69" t="s">
        <v>87</v>
      </c>
      <c r="H141" s="70" t="s">
        <v>456</v>
      </c>
      <c r="I141" s="70" t="s">
        <v>457</v>
      </c>
      <c r="J141" s="71" t="s">
        <v>109</v>
      </c>
      <c r="K141" s="71">
        <v>1</v>
      </c>
      <c r="L141" s="72">
        <v>0</v>
      </c>
      <c r="M141" s="72">
        <v>2.63</v>
      </c>
      <c r="N141" s="72">
        <v>0</v>
      </c>
      <c r="O141" s="72">
        <v>0</v>
      </c>
      <c r="P141" s="70">
        <v>0</v>
      </c>
      <c r="R141" s="102" t="s">
        <v>91</v>
      </c>
      <c r="U141" s="74" t="s">
        <v>369</v>
      </c>
    </row>
    <row r="142" ht="13.9" spans="1:21">
      <c r="A142" s="69">
        <f t="shared" si="7"/>
        <v>138</v>
      </c>
      <c r="B142" s="69" t="s">
        <v>98</v>
      </c>
      <c r="C142" s="98" t="s">
        <v>458</v>
      </c>
      <c r="D142" s="69" t="s">
        <v>459</v>
      </c>
      <c r="E142" s="69" t="s">
        <v>151</v>
      </c>
      <c r="F142" s="73" t="s">
        <v>447</v>
      </c>
      <c r="G142" s="69" t="s">
        <v>87</v>
      </c>
      <c r="H142" s="70" t="s">
        <v>263</v>
      </c>
      <c r="I142" s="70" t="s">
        <v>264</v>
      </c>
      <c r="J142" s="71" t="s">
        <v>90</v>
      </c>
      <c r="K142" s="71">
        <v>1</v>
      </c>
      <c r="L142" s="72">
        <v>1</v>
      </c>
      <c r="M142" s="72">
        <v>28</v>
      </c>
      <c r="N142" s="72">
        <v>0</v>
      </c>
      <c r="O142" s="72">
        <v>0</v>
      </c>
      <c r="P142" s="70">
        <v>0</v>
      </c>
      <c r="R142" s="102" t="s">
        <v>91</v>
      </c>
    </row>
    <row r="143" ht="13.9" spans="1:21">
      <c r="A143" s="69">
        <f t="shared" si="7"/>
        <v>139</v>
      </c>
      <c r="B143" s="69" t="s">
        <v>98</v>
      </c>
      <c r="C143" s="98" t="s">
        <v>460</v>
      </c>
      <c r="D143" s="69" t="s">
        <v>459</v>
      </c>
      <c r="E143" s="69" t="s">
        <v>151</v>
      </c>
      <c r="F143" s="73" t="s">
        <v>447</v>
      </c>
      <c r="G143" s="69" t="s">
        <v>87</v>
      </c>
      <c r="H143" s="70" t="s">
        <v>265</v>
      </c>
      <c r="I143" s="70" t="s">
        <v>266</v>
      </c>
      <c r="J143" s="71" t="s">
        <v>90</v>
      </c>
      <c r="K143" s="71">
        <v>1</v>
      </c>
      <c r="L143" s="72">
        <v>1</v>
      </c>
      <c r="M143" s="72">
        <v>20</v>
      </c>
      <c r="N143" s="72">
        <v>0</v>
      </c>
      <c r="O143" s="72">
        <v>0</v>
      </c>
      <c r="P143" s="70">
        <v>0</v>
      </c>
      <c r="R143" s="102" t="s">
        <v>91</v>
      </c>
    </row>
    <row r="144" ht="13.9" spans="1:21">
      <c r="A144" s="69">
        <f t="shared" si="7"/>
        <v>140</v>
      </c>
      <c r="B144" s="69" t="s">
        <v>98</v>
      </c>
      <c r="C144" s="98" t="s">
        <v>460</v>
      </c>
      <c r="D144" s="69" t="s">
        <v>459</v>
      </c>
      <c r="E144" s="69" t="s">
        <v>151</v>
      </c>
      <c r="F144" s="73" t="s">
        <v>447</v>
      </c>
      <c r="G144" s="69" t="s">
        <v>87</v>
      </c>
      <c r="H144" s="70" t="s">
        <v>267</v>
      </c>
      <c r="I144" s="70" t="s">
        <v>268</v>
      </c>
      <c r="J144" s="71" t="s">
        <v>90</v>
      </c>
      <c r="K144" s="71">
        <v>1</v>
      </c>
      <c r="L144" s="72">
        <v>1</v>
      </c>
      <c r="M144" s="72">
        <v>35</v>
      </c>
      <c r="N144" s="72">
        <v>0</v>
      </c>
      <c r="O144" s="72">
        <v>0</v>
      </c>
      <c r="P144" s="70">
        <v>0</v>
      </c>
      <c r="R144" s="102" t="s">
        <v>91</v>
      </c>
    </row>
    <row r="145" ht="13.9" spans="1:21">
      <c r="A145" s="69">
        <f t="shared" si="7"/>
        <v>141</v>
      </c>
      <c r="B145" s="69" t="s">
        <v>461</v>
      </c>
      <c r="C145" s="69" t="s">
        <v>462</v>
      </c>
      <c r="D145" s="69" t="s">
        <v>463</v>
      </c>
      <c r="E145" s="69" t="s">
        <v>151</v>
      </c>
      <c r="F145" s="73" t="s">
        <v>464</v>
      </c>
      <c r="G145" s="69" t="s">
        <v>102</v>
      </c>
      <c r="H145" s="70" t="s">
        <v>465</v>
      </c>
      <c r="I145" s="70" t="s">
        <v>466</v>
      </c>
      <c r="J145" s="71" t="s">
        <v>109</v>
      </c>
      <c r="K145" s="71">
        <v>1</v>
      </c>
      <c r="L145" s="72">
        <v>1</v>
      </c>
      <c r="M145" s="72">
        <v>30</v>
      </c>
      <c r="N145" s="70">
        <v>0</v>
      </c>
      <c r="O145" s="70">
        <v>40</v>
      </c>
      <c r="P145" s="70">
        <v>0</v>
      </c>
      <c r="U145" s="74" t="s">
        <v>467</v>
      </c>
    </row>
    <row r="146" ht="13.9" spans="1:21">
      <c r="A146" s="69">
        <f t="shared" si="7"/>
        <v>142</v>
      </c>
      <c r="B146" s="69" t="s">
        <v>461</v>
      </c>
      <c r="C146" s="69" t="s">
        <v>468</v>
      </c>
      <c r="D146" s="69" t="s">
        <v>469</v>
      </c>
      <c r="E146" s="69" t="s">
        <v>151</v>
      </c>
      <c r="F146" s="73" t="s">
        <v>464</v>
      </c>
      <c r="G146" s="69" t="s">
        <v>102</v>
      </c>
      <c r="H146" s="70" t="s">
        <v>470</v>
      </c>
      <c r="I146" s="70" t="s">
        <v>471</v>
      </c>
      <c r="J146" s="71" t="s">
        <v>109</v>
      </c>
      <c r="K146" s="71">
        <v>1</v>
      </c>
      <c r="L146" s="72">
        <v>1</v>
      </c>
      <c r="M146" s="72">
        <v>3.5</v>
      </c>
      <c r="N146" s="72">
        <v>0</v>
      </c>
      <c r="O146" s="72">
        <v>0</v>
      </c>
      <c r="P146" s="70">
        <v>0</v>
      </c>
      <c r="U146" s="74" t="s">
        <v>472</v>
      </c>
    </row>
    <row r="147" ht="32.25" spans="1:21">
      <c r="A147" s="69">
        <f t="shared" si="7"/>
        <v>143</v>
      </c>
      <c r="B147" s="97" t="s">
        <v>394</v>
      </c>
      <c r="C147" s="116" t="s">
        <v>473</v>
      </c>
      <c r="D147" s="117" t="s">
        <v>474</v>
      </c>
      <c r="E147" s="99" t="s">
        <v>126</v>
      </c>
      <c r="F147" s="69" t="s">
        <v>475</v>
      </c>
      <c r="G147" s="69" t="s">
        <v>239</v>
      </c>
      <c r="H147" s="70" t="s">
        <v>476</v>
      </c>
      <c r="I147" s="70" t="s">
        <v>477</v>
      </c>
      <c r="J147" s="71" t="s">
        <v>109</v>
      </c>
      <c r="K147" s="71">
        <v>1</v>
      </c>
      <c r="L147" s="72">
        <v>0</v>
      </c>
      <c r="M147" s="72">
        <v>9.15</v>
      </c>
      <c r="N147" s="70">
        <v>0</v>
      </c>
      <c r="O147" s="70">
        <v>0</v>
      </c>
      <c r="P147" s="70">
        <v>0</v>
      </c>
      <c r="R147" s="72" t="s">
        <v>91</v>
      </c>
      <c r="U147" s="74" t="s">
        <v>478</v>
      </c>
    </row>
    <row r="148" ht="13.9" spans="1:21">
      <c r="A148" s="69">
        <f t="shared" si="7"/>
        <v>144</v>
      </c>
      <c r="B148" s="69" t="s">
        <v>479</v>
      </c>
      <c r="C148" s="98" t="s">
        <v>480</v>
      </c>
      <c r="D148" s="69" t="s">
        <v>481</v>
      </c>
      <c r="E148" s="69" t="s">
        <v>151</v>
      </c>
      <c r="F148" s="73" t="s">
        <v>447</v>
      </c>
      <c r="G148" s="69" t="s">
        <v>87</v>
      </c>
      <c r="H148" s="70" t="s">
        <v>482</v>
      </c>
      <c r="I148" s="70" t="s">
        <v>483</v>
      </c>
      <c r="J148" s="71" t="s">
        <v>90</v>
      </c>
      <c r="K148" s="71">
        <v>1</v>
      </c>
      <c r="L148" s="72">
        <v>1</v>
      </c>
      <c r="M148" s="72">
        <v>1.52</v>
      </c>
      <c r="N148" s="72">
        <v>0</v>
      </c>
      <c r="O148" s="72">
        <v>0</v>
      </c>
      <c r="P148" s="70">
        <v>0</v>
      </c>
      <c r="R148" s="102" t="s">
        <v>91</v>
      </c>
    </row>
    <row r="149" ht="13.9" spans="1:21">
      <c r="A149" s="69">
        <f t="shared" si="7"/>
        <v>145</v>
      </c>
      <c r="B149" s="69" t="s">
        <v>479</v>
      </c>
      <c r="C149" s="98" t="s">
        <v>484</v>
      </c>
      <c r="D149" s="69" t="s">
        <v>481</v>
      </c>
      <c r="E149" s="69" t="s">
        <v>151</v>
      </c>
      <c r="F149" s="73" t="s">
        <v>447</v>
      </c>
      <c r="G149" s="69" t="s">
        <v>87</v>
      </c>
      <c r="H149" s="70" t="s">
        <v>485</v>
      </c>
      <c r="I149" s="70" t="s">
        <v>486</v>
      </c>
      <c r="J149" s="71" t="s">
        <v>109</v>
      </c>
      <c r="K149" s="71">
        <v>1</v>
      </c>
      <c r="L149" s="72">
        <v>0</v>
      </c>
      <c r="M149" s="72">
        <v>3.65</v>
      </c>
      <c r="N149" s="72">
        <v>0</v>
      </c>
      <c r="O149" s="72">
        <v>0</v>
      </c>
      <c r="P149" s="70">
        <v>0</v>
      </c>
      <c r="R149" s="102" t="s">
        <v>91</v>
      </c>
      <c r="U149" s="74" t="s">
        <v>487</v>
      </c>
    </row>
    <row r="150" ht="13.9" spans="1:21">
      <c r="A150" s="69">
        <f t="shared" si="7"/>
        <v>146</v>
      </c>
      <c r="B150" s="69" t="s">
        <v>479</v>
      </c>
      <c r="C150" s="98" t="s">
        <v>488</v>
      </c>
      <c r="D150" s="69" t="s">
        <v>481</v>
      </c>
      <c r="E150" s="69" t="s">
        <v>151</v>
      </c>
      <c r="F150" s="73" t="s">
        <v>447</v>
      </c>
      <c r="G150" s="69" t="s">
        <v>87</v>
      </c>
      <c r="H150" s="71" t="s">
        <v>489</v>
      </c>
      <c r="I150" s="70" t="s">
        <v>490</v>
      </c>
      <c r="J150" s="71" t="s">
        <v>109</v>
      </c>
      <c r="K150" s="71">
        <v>1</v>
      </c>
      <c r="L150" s="72">
        <v>0</v>
      </c>
      <c r="M150" s="72">
        <v>24.64</v>
      </c>
      <c r="N150" s="72">
        <v>0</v>
      </c>
      <c r="O150" s="72">
        <v>0</v>
      </c>
      <c r="P150" s="70">
        <v>0</v>
      </c>
      <c r="R150" s="102" t="s">
        <v>91</v>
      </c>
      <c r="U150" s="74" t="s">
        <v>491</v>
      </c>
    </row>
    <row r="151" ht="13.9" spans="1:21">
      <c r="A151" s="69">
        <f t="shared" si="7"/>
        <v>147</v>
      </c>
      <c r="B151" s="69" t="s">
        <v>98</v>
      </c>
      <c r="C151" s="98" t="s">
        <v>329</v>
      </c>
      <c r="D151" s="69" t="s">
        <v>330</v>
      </c>
      <c r="E151" s="69" t="s">
        <v>151</v>
      </c>
      <c r="F151" s="73" t="s">
        <v>492</v>
      </c>
      <c r="G151" s="69" t="s">
        <v>128</v>
      </c>
      <c r="H151" s="70" t="s">
        <v>493</v>
      </c>
      <c r="I151" s="70" t="s">
        <v>494</v>
      </c>
      <c r="J151" s="71" t="s">
        <v>109</v>
      </c>
      <c r="K151" s="71">
        <v>1</v>
      </c>
      <c r="L151" s="72">
        <v>0</v>
      </c>
      <c r="M151" s="72">
        <v>140</v>
      </c>
      <c r="N151" s="72">
        <v>0</v>
      </c>
      <c r="O151" s="72">
        <v>0</v>
      </c>
      <c r="P151" s="70">
        <v>0</v>
      </c>
      <c r="R151" s="102" t="s">
        <v>91</v>
      </c>
      <c r="U151" s="74" t="s">
        <v>495</v>
      </c>
    </row>
    <row r="152" ht="13.9" spans="1:21">
      <c r="A152" s="69">
        <f t="shared" si="7"/>
        <v>148</v>
      </c>
      <c r="B152" s="69" t="s">
        <v>98</v>
      </c>
      <c r="C152" s="98" t="s">
        <v>329</v>
      </c>
      <c r="D152" s="69" t="s">
        <v>330</v>
      </c>
      <c r="E152" s="69" t="s">
        <v>151</v>
      </c>
      <c r="F152" s="73" t="s">
        <v>492</v>
      </c>
      <c r="G152" s="69" t="s">
        <v>128</v>
      </c>
      <c r="H152" s="70" t="s">
        <v>496</v>
      </c>
      <c r="I152" s="70" t="s">
        <v>497</v>
      </c>
      <c r="J152" s="71" t="s">
        <v>109</v>
      </c>
      <c r="K152" s="71">
        <v>1</v>
      </c>
      <c r="L152" s="72">
        <v>0</v>
      </c>
      <c r="M152" s="72">
        <v>18</v>
      </c>
      <c r="N152" s="72">
        <v>0</v>
      </c>
      <c r="O152" s="72">
        <v>0</v>
      </c>
      <c r="P152" s="70">
        <v>0</v>
      </c>
      <c r="R152" s="102" t="s">
        <v>91</v>
      </c>
      <c r="U152" s="74" t="s">
        <v>498</v>
      </c>
    </row>
    <row r="153" ht="13.9" spans="1:21">
      <c r="A153" s="69">
        <f t="shared" si="7"/>
        <v>149</v>
      </c>
      <c r="B153" s="69" t="s">
        <v>98</v>
      </c>
      <c r="C153" s="98" t="s">
        <v>329</v>
      </c>
      <c r="D153" s="69" t="s">
        <v>330</v>
      </c>
      <c r="E153" s="69" t="s">
        <v>151</v>
      </c>
      <c r="F153" s="73" t="s">
        <v>492</v>
      </c>
      <c r="G153" s="69" t="s">
        <v>128</v>
      </c>
      <c r="H153" s="70" t="s">
        <v>499</v>
      </c>
      <c r="I153" s="70" t="s">
        <v>500</v>
      </c>
      <c r="J153" s="71" t="s">
        <v>109</v>
      </c>
      <c r="K153" s="71">
        <v>1</v>
      </c>
      <c r="L153" s="72">
        <v>0</v>
      </c>
      <c r="M153" s="72">
        <v>1</v>
      </c>
      <c r="N153" s="72">
        <v>0</v>
      </c>
      <c r="O153" s="72">
        <v>0</v>
      </c>
      <c r="P153" s="70">
        <v>0</v>
      </c>
      <c r="R153" s="102" t="s">
        <v>91</v>
      </c>
      <c r="U153" s="74" t="s">
        <v>501</v>
      </c>
    </row>
    <row r="154" ht="13.9" spans="1:21">
      <c r="A154" s="69">
        <f t="shared" si="7"/>
        <v>150</v>
      </c>
      <c r="B154" s="69" t="s">
        <v>98</v>
      </c>
      <c r="C154" s="98" t="s">
        <v>329</v>
      </c>
      <c r="D154" s="69" t="s">
        <v>330</v>
      </c>
      <c r="E154" s="69" t="s">
        <v>151</v>
      </c>
      <c r="F154" s="73" t="s">
        <v>492</v>
      </c>
      <c r="G154" s="69" t="s">
        <v>128</v>
      </c>
      <c r="H154" s="70" t="s">
        <v>502</v>
      </c>
      <c r="I154" s="70" t="s">
        <v>503</v>
      </c>
      <c r="J154" s="71" t="s">
        <v>90</v>
      </c>
      <c r="K154" s="71">
        <v>1</v>
      </c>
      <c r="L154" s="72">
        <v>1</v>
      </c>
      <c r="M154" s="72">
        <v>95</v>
      </c>
      <c r="N154" s="72">
        <v>95</v>
      </c>
      <c r="O154" s="72">
        <v>0</v>
      </c>
      <c r="P154" s="70">
        <v>0</v>
      </c>
      <c r="R154" s="102" t="s">
        <v>91</v>
      </c>
    </row>
    <row r="155" ht="13.9" spans="1:21">
      <c r="A155" s="69">
        <f t="shared" si="7"/>
        <v>151</v>
      </c>
      <c r="B155" s="69" t="s">
        <v>98</v>
      </c>
      <c r="C155" s="98" t="s">
        <v>329</v>
      </c>
      <c r="D155" s="69" t="s">
        <v>504</v>
      </c>
      <c r="E155" s="69" t="s">
        <v>151</v>
      </c>
      <c r="F155" s="73" t="s">
        <v>505</v>
      </c>
      <c r="G155" s="69" t="s">
        <v>128</v>
      </c>
      <c r="H155" s="70" t="s">
        <v>506</v>
      </c>
      <c r="I155" s="70" t="s">
        <v>507</v>
      </c>
      <c r="J155" s="71" t="s">
        <v>109</v>
      </c>
      <c r="K155" s="71">
        <v>1</v>
      </c>
      <c r="L155" s="72">
        <v>0</v>
      </c>
      <c r="M155" s="72">
        <v>91</v>
      </c>
      <c r="N155" s="72">
        <v>0</v>
      </c>
      <c r="O155" s="72">
        <v>0</v>
      </c>
      <c r="P155" s="70">
        <v>0</v>
      </c>
      <c r="R155" s="102" t="s">
        <v>91</v>
      </c>
      <c r="U155" s="74" t="s">
        <v>508</v>
      </c>
    </row>
    <row r="156" ht="13.9" spans="1:21">
      <c r="A156" s="69">
        <f t="shared" si="7"/>
        <v>152</v>
      </c>
      <c r="B156" s="69" t="s">
        <v>98</v>
      </c>
      <c r="C156" s="98" t="s">
        <v>329</v>
      </c>
      <c r="D156" s="69" t="s">
        <v>504</v>
      </c>
      <c r="E156" s="69" t="s">
        <v>151</v>
      </c>
      <c r="F156" s="73" t="s">
        <v>505</v>
      </c>
      <c r="G156" s="69" t="s">
        <v>128</v>
      </c>
      <c r="H156" s="70" t="s">
        <v>506</v>
      </c>
      <c r="I156" s="70" t="s">
        <v>509</v>
      </c>
      <c r="J156" s="71" t="s">
        <v>109</v>
      </c>
      <c r="K156" s="71">
        <v>1</v>
      </c>
      <c r="L156" s="72">
        <v>0</v>
      </c>
      <c r="M156" s="72">
        <v>57</v>
      </c>
      <c r="N156" s="72">
        <v>0</v>
      </c>
      <c r="O156" s="72">
        <v>0</v>
      </c>
      <c r="P156" s="70">
        <v>0</v>
      </c>
      <c r="R156" s="102" t="s">
        <v>91</v>
      </c>
      <c r="U156" s="74" t="s">
        <v>508</v>
      </c>
    </row>
    <row r="157" ht="13.9" spans="1:21">
      <c r="A157" s="69">
        <f t="shared" si="7"/>
        <v>153</v>
      </c>
      <c r="B157" s="69" t="s">
        <v>98</v>
      </c>
      <c r="C157" s="98" t="s">
        <v>329</v>
      </c>
      <c r="D157" s="69" t="s">
        <v>504</v>
      </c>
      <c r="E157" s="69" t="s">
        <v>151</v>
      </c>
      <c r="F157" s="73" t="s">
        <v>505</v>
      </c>
      <c r="G157" s="69" t="s">
        <v>128</v>
      </c>
      <c r="H157" s="70" t="s">
        <v>510</v>
      </c>
      <c r="I157" s="70" t="s">
        <v>511</v>
      </c>
      <c r="J157" s="71" t="s">
        <v>90</v>
      </c>
      <c r="K157" s="71">
        <v>1</v>
      </c>
      <c r="L157" s="72">
        <v>1</v>
      </c>
      <c r="M157" s="72">
        <v>40</v>
      </c>
      <c r="N157" s="70">
        <f>M157</f>
        <v>40</v>
      </c>
      <c r="O157" s="72">
        <v>0</v>
      </c>
      <c r="P157" s="70">
        <v>0</v>
      </c>
      <c r="R157" s="102" t="s">
        <v>91</v>
      </c>
    </row>
    <row r="158" ht="13.9" spans="1:21">
      <c r="A158" s="69">
        <f t="shared" si="7"/>
        <v>154</v>
      </c>
      <c r="B158" s="69" t="s">
        <v>98</v>
      </c>
      <c r="C158" s="98" t="s">
        <v>329</v>
      </c>
      <c r="D158" s="69" t="s">
        <v>504</v>
      </c>
      <c r="E158" s="69" t="s">
        <v>151</v>
      </c>
      <c r="F158" s="73" t="s">
        <v>505</v>
      </c>
      <c r="G158" s="69" t="s">
        <v>128</v>
      </c>
      <c r="H158" s="70" t="s">
        <v>512</v>
      </c>
      <c r="I158" s="70" t="s">
        <v>513</v>
      </c>
      <c r="J158" s="71" t="s">
        <v>90</v>
      </c>
      <c r="K158" s="71">
        <v>1</v>
      </c>
      <c r="L158" s="72">
        <v>1</v>
      </c>
      <c r="M158" s="72">
        <v>6</v>
      </c>
      <c r="N158" s="70">
        <f>M158</f>
        <v>6</v>
      </c>
      <c r="O158" s="72">
        <v>0</v>
      </c>
      <c r="P158" s="70">
        <v>0</v>
      </c>
      <c r="R158" s="102" t="s">
        <v>91</v>
      </c>
    </row>
    <row r="159" ht="27.75" spans="1:21">
      <c r="A159" s="69">
        <f t="shared" si="7"/>
        <v>155</v>
      </c>
      <c r="B159" s="69" t="s">
        <v>98</v>
      </c>
      <c r="C159" s="98" t="s">
        <v>329</v>
      </c>
      <c r="D159" s="69" t="s">
        <v>504</v>
      </c>
      <c r="E159" s="69" t="s">
        <v>151</v>
      </c>
      <c r="F159" s="73" t="s">
        <v>505</v>
      </c>
      <c r="G159" s="69" t="s">
        <v>128</v>
      </c>
      <c r="H159" s="70" t="s">
        <v>514</v>
      </c>
      <c r="I159" s="70" t="s">
        <v>515</v>
      </c>
      <c r="J159" s="71" t="s">
        <v>109</v>
      </c>
      <c r="K159" s="71">
        <v>1</v>
      </c>
      <c r="L159" s="72">
        <v>0</v>
      </c>
      <c r="M159" s="72">
        <v>20</v>
      </c>
      <c r="N159" s="72">
        <v>0</v>
      </c>
      <c r="O159" s="72">
        <v>0</v>
      </c>
      <c r="P159" s="70">
        <v>0</v>
      </c>
      <c r="R159" s="102" t="s">
        <v>91</v>
      </c>
      <c r="U159" s="74" t="s">
        <v>516</v>
      </c>
    </row>
    <row r="160" ht="13.9" spans="1:21">
      <c r="A160" s="69">
        <f t="shared" si="7"/>
        <v>156</v>
      </c>
      <c r="B160" s="69" t="s">
        <v>98</v>
      </c>
      <c r="C160" s="98" t="s">
        <v>329</v>
      </c>
      <c r="D160" s="69" t="s">
        <v>504</v>
      </c>
      <c r="E160" s="69" t="s">
        <v>151</v>
      </c>
      <c r="F160" s="73" t="s">
        <v>505</v>
      </c>
      <c r="G160" s="69" t="s">
        <v>128</v>
      </c>
      <c r="H160" s="70" t="s">
        <v>517</v>
      </c>
      <c r="I160" s="70" t="s">
        <v>518</v>
      </c>
      <c r="J160" s="71" t="s">
        <v>90</v>
      </c>
      <c r="K160" s="71">
        <v>1</v>
      </c>
      <c r="L160" s="72">
        <v>1</v>
      </c>
      <c r="M160" s="72">
        <v>2.5</v>
      </c>
      <c r="N160" s="70">
        <f t="shared" ref="N160:N165" si="8">M160</f>
        <v>2.5</v>
      </c>
      <c r="O160" s="72">
        <v>0</v>
      </c>
      <c r="P160" s="70">
        <v>0</v>
      </c>
      <c r="R160" s="102" t="s">
        <v>91</v>
      </c>
    </row>
    <row r="161" ht="13.9" spans="1:21">
      <c r="A161" s="69">
        <f t="shared" si="7"/>
        <v>157</v>
      </c>
      <c r="B161" s="69" t="s">
        <v>98</v>
      </c>
      <c r="C161" s="98" t="s">
        <v>329</v>
      </c>
      <c r="D161" s="69" t="s">
        <v>504</v>
      </c>
      <c r="E161" s="69" t="s">
        <v>151</v>
      </c>
      <c r="F161" s="73" t="s">
        <v>505</v>
      </c>
      <c r="G161" s="69" t="s">
        <v>128</v>
      </c>
      <c r="H161" s="70" t="s">
        <v>519</v>
      </c>
      <c r="I161" s="70" t="s">
        <v>520</v>
      </c>
      <c r="J161" s="71" t="s">
        <v>90</v>
      </c>
      <c r="K161" s="71">
        <v>1</v>
      </c>
      <c r="L161" s="72">
        <v>1</v>
      </c>
      <c r="M161" s="72">
        <v>2.2</v>
      </c>
      <c r="N161" s="70">
        <f t="shared" si="8"/>
        <v>2.2</v>
      </c>
      <c r="O161" s="72">
        <v>0</v>
      </c>
      <c r="P161" s="70">
        <v>0</v>
      </c>
      <c r="R161" s="102" t="s">
        <v>91</v>
      </c>
    </row>
    <row r="162" ht="13.9" spans="1:21">
      <c r="A162" s="69">
        <f t="shared" si="7"/>
        <v>158</v>
      </c>
      <c r="B162" s="69" t="s">
        <v>98</v>
      </c>
      <c r="C162" s="98" t="s">
        <v>329</v>
      </c>
      <c r="D162" s="69" t="s">
        <v>504</v>
      </c>
      <c r="E162" s="69" t="s">
        <v>151</v>
      </c>
      <c r="F162" s="73" t="s">
        <v>505</v>
      </c>
      <c r="G162" s="69" t="s">
        <v>128</v>
      </c>
      <c r="H162" s="70" t="s">
        <v>521</v>
      </c>
      <c r="I162" s="70" t="s">
        <v>522</v>
      </c>
      <c r="J162" s="71" t="s">
        <v>90</v>
      </c>
      <c r="K162" s="71">
        <v>1</v>
      </c>
      <c r="L162" s="72">
        <v>1</v>
      </c>
      <c r="M162" s="72">
        <v>24</v>
      </c>
      <c r="N162" s="70">
        <f t="shared" si="8"/>
        <v>24</v>
      </c>
      <c r="O162" s="72">
        <v>0</v>
      </c>
      <c r="P162" s="70">
        <v>0</v>
      </c>
      <c r="R162" s="102" t="s">
        <v>91</v>
      </c>
    </row>
    <row r="163" ht="13.9" spans="1:21">
      <c r="A163" s="69">
        <f t="shared" si="7"/>
        <v>159</v>
      </c>
      <c r="B163" s="69" t="s">
        <v>98</v>
      </c>
      <c r="C163" s="98" t="s">
        <v>329</v>
      </c>
      <c r="D163" s="69" t="s">
        <v>504</v>
      </c>
      <c r="E163" s="69" t="s">
        <v>151</v>
      </c>
      <c r="F163" s="73" t="s">
        <v>505</v>
      </c>
      <c r="G163" s="69" t="s">
        <v>128</v>
      </c>
      <c r="H163" s="70" t="s">
        <v>523</v>
      </c>
      <c r="I163" s="70" t="s">
        <v>524</v>
      </c>
      <c r="J163" s="71" t="s">
        <v>90</v>
      </c>
      <c r="K163" s="71">
        <v>1</v>
      </c>
      <c r="L163" s="72">
        <v>1</v>
      </c>
      <c r="M163" s="72">
        <v>20</v>
      </c>
      <c r="N163" s="70">
        <f t="shared" si="8"/>
        <v>20</v>
      </c>
      <c r="O163" s="72">
        <v>0</v>
      </c>
      <c r="P163" s="70">
        <v>0</v>
      </c>
      <c r="R163" s="102" t="s">
        <v>91</v>
      </c>
    </row>
    <row r="164" ht="27.75" spans="1:21">
      <c r="A164" s="69">
        <f t="shared" si="7"/>
        <v>160</v>
      </c>
      <c r="B164" s="69" t="s">
        <v>98</v>
      </c>
      <c r="C164" s="98" t="s">
        <v>329</v>
      </c>
      <c r="D164" s="69" t="s">
        <v>504</v>
      </c>
      <c r="E164" s="69" t="s">
        <v>151</v>
      </c>
      <c r="F164" s="73" t="s">
        <v>505</v>
      </c>
      <c r="G164" s="69" t="s">
        <v>128</v>
      </c>
      <c r="H164" s="70" t="s">
        <v>525</v>
      </c>
      <c r="I164" s="70" t="s">
        <v>526</v>
      </c>
      <c r="J164" s="71" t="s">
        <v>90</v>
      </c>
      <c r="K164" s="71">
        <v>1</v>
      </c>
      <c r="L164" s="72">
        <v>1</v>
      </c>
      <c r="M164" s="72">
        <v>3</v>
      </c>
      <c r="N164" s="70">
        <f t="shared" si="8"/>
        <v>3</v>
      </c>
      <c r="O164" s="72">
        <v>0</v>
      </c>
      <c r="P164" s="70">
        <v>0</v>
      </c>
      <c r="R164" s="102" t="s">
        <v>91</v>
      </c>
    </row>
    <row r="165" ht="13.9" spans="1:21">
      <c r="A165" s="69">
        <f t="shared" si="7"/>
        <v>161</v>
      </c>
      <c r="B165" s="69" t="s">
        <v>98</v>
      </c>
      <c r="C165" s="98" t="s">
        <v>329</v>
      </c>
      <c r="D165" s="69" t="s">
        <v>504</v>
      </c>
      <c r="E165" s="69" t="s">
        <v>151</v>
      </c>
      <c r="F165" s="73" t="s">
        <v>505</v>
      </c>
      <c r="G165" s="69" t="s">
        <v>128</v>
      </c>
      <c r="H165" s="70" t="s">
        <v>527</v>
      </c>
      <c r="I165" s="70" t="s">
        <v>528</v>
      </c>
      <c r="J165" s="71" t="s">
        <v>90</v>
      </c>
      <c r="K165" s="71">
        <v>1</v>
      </c>
      <c r="L165" s="72">
        <v>1</v>
      </c>
      <c r="M165" s="72">
        <v>7</v>
      </c>
      <c r="N165" s="70">
        <f t="shared" si="8"/>
        <v>7</v>
      </c>
      <c r="O165" s="72">
        <v>0</v>
      </c>
      <c r="P165" s="70">
        <v>0</v>
      </c>
      <c r="R165" s="102" t="s">
        <v>91</v>
      </c>
      <c r="U165" s="74" t="s">
        <v>529</v>
      </c>
    </row>
    <row r="166" ht="13.9" spans="1:21">
      <c r="A166" s="69">
        <f t="shared" si="7"/>
        <v>162</v>
      </c>
      <c r="B166" s="69" t="s">
        <v>530</v>
      </c>
      <c r="C166" s="69" t="s">
        <v>531</v>
      </c>
      <c r="D166" s="69" t="s">
        <v>532</v>
      </c>
      <c r="E166" s="69" t="s">
        <v>151</v>
      </c>
      <c r="F166" s="107">
        <v>45741</v>
      </c>
      <c r="G166" s="69" t="s">
        <v>152</v>
      </c>
      <c r="H166" s="70" t="s">
        <v>533</v>
      </c>
      <c r="I166" s="70" t="s">
        <v>534</v>
      </c>
      <c r="J166" s="108" t="s">
        <v>109</v>
      </c>
      <c r="K166" s="71">
        <v>1</v>
      </c>
      <c r="L166" s="72">
        <v>0</v>
      </c>
      <c r="M166" s="72">
        <v>2.71</v>
      </c>
      <c r="N166" s="70">
        <v>0</v>
      </c>
      <c r="O166" s="70">
        <v>0</v>
      </c>
      <c r="P166" s="70">
        <v>0</v>
      </c>
      <c r="R166" s="72" t="s">
        <v>91</v>
      </c>
      <c r="U166" s="74" t="s">
        <v>535</v>
      </c>
    </row>
    <row r="167" ht="27.75" spans="1:21">
      <c r="A167" s="69">
        <f t="shared" si="7"/>
        <v>163</v>
      </c>
      <c r="B167" s="97" t="s">
        <v>98</v>
      </c>
      <c r="C167" s="69" t="s">
        <v>536</v>
      </c>
      <c r="D167" s="69" t="s">
        <v>310</v>
      </c>
      <c r="E167" s="69" t="s">
        <v>151</v>
      </c>
      <c r="F167" s="107">
        <v>45741</v>
      </c>
      <c r="G167" s="69" t="s">
        <v>152</v>
      </c>
      <c r="H167" s="70" t="s">
        <v>537</v>
      </c>
      <c r="I167" s="70" t="s">
        <v>538</v>
      </c>
      <c r="J167" s="108" t="s">
        <v>90</v>
      </c>
      <c r="K167" s="71">
        <v>1</v>
      </c>
      <c r="L167" s="71">
        <v>1</v>
      </c>
      <c r="M167" s="72">
        <v>82</v>
      </c>
      <c r="N167" s="70">
        <v>82</v>
      </c>
      <c r="O167" s="70">
        <v>0</v>
      </c>
      <c r="P167" s="70">
        <v>0</v>
      </c>
      <c r="R167" s="72" t="s">
        <v>91</v>
      </c>
    </row>
    <row r="168" ht="27.75" spans="1:21">
      <c r="A168" s="69">
        <f t="shared" si="7"/>
        <v>164</v>
      </c>
      <c r="B168" s="97" t="s">
        <v>98</v>
      </c>
      <c r="C168" s="69" t="s">
        <v>539</v>
      </c>
      <c r="D168" s="69" t="s">
        <v>540</v>
      </c>
      <c r="E168" s="69" t="s">
        <v>151</v>
      </c>
      <c r="F168" s="107">
        <v>45741</v>
      </c>
      <c r="G168" s="69" t="s">
        <v>152</v>
      </c>
      <c r="H168" s="70" t="s">
        <v>537</v>
      </c>
      <c r="I168" s="70" t="s">
        <v>541</v>
      </c>
      <c r="J168" s="108" t="s">
        <v>90</v>
      </c>
      <c r="K168" s="71">
        <v>1</v>
      </c>
      <c r="L168" s="71">
        <v>1</v>
      </c>
      <c r="M168" s="72">
        <v>78</v>
      </c>
      <c r="N168" s="70">
        <v>78</v>
      </c>
      <c r="O168" s="70">
        <v>0</v>
      </c>
      <c r="P168" s="70">
        <v>0</v>
      </c>
      <c r="R168" s="72" t="s">
        <v>91</v>
      </c>
    </row>
    <row r="169" ht="27.75" spans="1:21">
      <c r="A169" s="69">
        <f t="shared" si="7"/>
        <v>165</v>
      </c>
      <c r="B169" s="97" t="s">
        <v>98</v>
      </c>
      <c r="C169" s="69" t="s">
        <v>539</v>
      </c>
      <c r="D169" s="69" t="s">
        <v>540</v>
      </c>
      <c r="E169" s="69" t="s">
        <v>151</v>
      </c>
      <c r="F169" s="107">
        <v>45741</v>
      </c>
      <c r="G169" s="69" t="s">
        <v>152</v>
      </c>
      <c r="H169" s="70" t="s">
        <v>542</v>
      </c>
      <c r="I169" s="70" t="s">
        <v>543</v>
      </c>
      <c r="J169" s="108" t="s">
        <v>90</v>
      </c>
      <c r="K169" s="71">
        <v>1</v>
      </c>
      <c r="L169" s="71">
        <v>1</v>
      </c>
      <c r="M169" s="72">
        <v>26</v>
      </c>
      <c r="N169" s="70">
        <v>26</v>
      </c>
      <c r="O169" s="70">
        <v>0</v>
      </c>
      <c r="P169" s="70">
        <v>0</v>
      </c>
      <c r="R169" s="72" t="s">
        <v>91</v>
      </c>
    </row>
    <row r="170" ht="13.9" spans="1:21">
      <c r="A170" s="69">
        <f t="shared" si="7"/>
        <v>166</v>
      </c>
      <c r="B170" s="97" t="s">
        <v>98</v>
      </c>
      <c r="C170" s="69" t="s">
        <v>544</v>
      </c>
      <c r="D170" s="69" t="s">
        <v>545</v>
      </c>
      <c r="E170" s="69" t="s">
        <v>151</v>
      </c>
      <c r="F170" s="107">
        <v>45741</v>
      </c>
      <c r="G170" s="69" t="s">
        <v>152</v>
      </c>
      <c r="H170" s="70" t="s">
        <v>546</v>
      </c>
      <c r="I170" s="70" t="s">
        <v>545</v>
      </c>
      <c r="J170" s="108" t="s">
        <v>90</v>
      </c>
      <c r="K170" s="71">
        <v>1</v>
      </c>
      <c r="L170" s="71">
        <v>1</v>
      </c>
      <c r="M170" s="72">
        <v>19</v>
      </c>
      <c r="N170" s="70">
        <v>19</v>
      </c>
      <c r="O170" s="70">
        <v>14</v>
      </c>
      <c r="P170" s="70">
        <v>0</v>
      </c>
      <c r="R170" s="72" t="s">
        <v>91</v>
      </c>
    </row>
    <row r="171" ht="13.9" spans="1:21">
      <c r="A171" s="69">
        <f t="shared" si="7"/>
        <v>167</v>
      </c>
      <c r="B171" s="69" t="s">
        <v>394</v>
      </c>
      <c r="C171" s="98" t="s">
        <v>547</v>
      </c>
      <c r="D171" s="69" t="s">
        <v>548</v>
      </c>
      <c r="E171" s="99" t="s">
        <v>126</v>
      </c>
      <c r="F171" s="73" t="s">
        <v>549</v>
      </c>
      <c r="G171" s="69" t="s">
        <v>272</v>
      </c>
      <c r="H171" s="70" t="s">
        <v>273</v>
      </c>
      <c r="I171" s="70" t="s">
        <v>550</v>
      </c>
      <c r="J171" s="100" t="s">
        <v>90</v>
      </c>
      <c r="K171" s="71">
        <v>1</v>
      </c>
      <c r="L171" s="72">
        <v>1</v>
      </c>
      <c r="M171" s="118">
        <v>0.925</v>
      </c>
      <c r="N171" s="118">
        <v>0.925</v>
      </c>
      <c r="O171" s="70">
        <v>0</v>
      </c>
      <c r="P171" s="70">
        <v>0</v>
      </c>
      <c r="R171" s="102" t="s">
        <v>91</v>
      </c>
      <c r="T171" s="73" t="s">
        <v>549</v>
      </c>
    </row>
    <row r="172" ht="13.9" spans="1:21">
      <c r="A172" s="69">
        <f t="shared" si="7"/>
        <v>168</v>
      </c>
      <c r="B172" s="69" t="s">
        <v>394</v>
      </c>
      <c r="C172" s="98" t="s">
        <v>551</v>
      </c>
      <c r="D172" s="69" t="s">
        <v>548</v>
      </c>
      <c r="E172" s="99" t="s">
        <v>126</v>
      </c>
      <c r="F172" s="73" t="s">
        <v>549</v>
      </c>
      <c r="G172" s="69" t="s">
        <v>272</v>
      </c>
      <c r="H172" s="70" t="s">
        <v>273</v>
      </c>
      <c r="I172" s="70" t="s">
        <v>550</v>
      </c>
      <c r="J172" s="100" t="s">
        <v>90</v>
      </c>
      <c r="K172" s="71">
        <v>1</v>
      </c>
      <c r="L172" s="72">
        <v>1</v>
      </c>
      <c r="M172" s="118">
        <v>0.925</v>
      </c>
      <c r="N172" s="118">
        <v>0.925</v>
      </c>
      <c r="O172" s="70">
        <v>0</v>
      </c>
      <c r="P172" s="70">
        <v>0</v>
      </c>
      <c r="R172" s="102" t="s">
        <v>91</v>
      </c>
      <c r="T172" s="73" t="s">
        <v>549</v>
      </c>
    </row>
    <row r="173" ht="13.9" spans="1:21">
      <c r="A173" s="69">
        <f t="shared" si="7"/>
        <v>169</v>
      </c>
      <c r="B173" s="69" t="s">
        <v>394</v>
      </c>
      <c r="C173" s="98" t="s">
        <v>547</v>
      </c>
      <c r="D173" s="69" t="s">
        <v>548</v>
      </c>
      <c r="E173" s="99" t="s">
        <v>126</v>
      </c>
      <c r="F173" s="73" t="s">
        <v>549</v>
      </c>
      <c r="G173" s="69" t="s">
        <v>272</v>
      </c>
      <c r="H173" s="225" t="s">
        <v>552</v>
      </c>
      <c r="I173" s="70" t="s">
        <v>553</v>
      </c>
      <c r="J173" s="100" t="s">
        <v>90</v>
      </c>
      <c r="K173" s="71">
        <v>1</v>
      </c>
      <c r="L173" s="72">
        <v>1</v>
      </c>
      <c r="M173" s="72">
        <v>2</v>
      </c>
      <c r="N173" s="72">
        <v>2</v>
      </c>
      <c r="O173" s="70">
        <v>0</v>
      </c>
      <c r="P173" s="70">
        <v>0</v>
      </c>
      <c r="R173" s="102" t="s">
        <v>91</v>
      </c>
      <c r="T173" s="73" t="s">
        <v>549</v>
      </c>
    </row>
    <row r="174" ht="13.9" spans="1:21">
      <c r="A174" s="69">
        <f t="shared" si="7"/>
        <v>170</v>
      </c>
      <c r="B174" s="69" t="s">
        <v>394</v>
      </c>
      <c r="C174" s="98" t="s">
        <v>551</v>
      </c>
      <c r="D174" s="69" t="s">
        <v>548</v>
      </c>
      <c r="E174" s="99" t="s">
        <v>126</v>
      </c>
      <c r="F174" s="73" t="s">
        <v>549</v>
      </c>
      <c r="G174" s="69" t="s">
        <v>272</v>
      </c>
      <c r="H174" s="225" t="s">
        <v>552</v>
      </c>
      <c r="I174" s="70" t="s">
        <v>553</v>
      </c>
      <c r="J174" s="100" t="s">
        <v>90</v>
      </c>
      <c r="K174" s="71">
        <v>1</v>
      </c>
      <c r="L174" s="72">
        <v>1</v>
      </c>
      <c r="M174" s="72">
        <v>2</v>
      </c>
      <c r="N174" s="72">
        <v>2</v>
      </c>
      <c r="O174" s="70">
        <v>0</v>
      </c>
      <c r="P174" s="70">
        <v>0</v>
      </c>
      <c r="R174" s="102" t="s">
        <v>91</v>
      </c>
      <c r="T174" s="73" t="s">
        <v>549</v>
      </c>
    </row>
    <row r="175" ht="13.9" spans="1:21">
      <c r="A175" s="69">
        <f t="shared" si="7"/>
        <v>171</v>
      </c>
      <c r="B175" s="69" t="s">
        <v>394</v>
      </c>
      <c r="C175" s="98" t="s">
        <v>547</v>
      </c>
      <c r="D175" s="69" t="s">
        <v>548</v>
      </c>
      <c r="E175" s="99" t="s">
        <v>126</v>
      </c>
      <c r="F175" s="73" t="s">
        <v>549</v>
      </c>
      <c r="G175" s="69" t="s">
        <v>272</v>
      </c>
      <c r="H175" s="225" t="s">
        <v>554</v>
      </c>
      <c r="I175" s="70" t="s">
        <v>555</v>
      </c>
      <c r="J175" s="100" t="s">
        <v>90</v>
      </c>
      <c r="K175" s="71">
        <v>1</v>
      </c>
      <c r="L175" s="72">
        <v>1</v>
      </c>
      <c r="M175" s="72">
        <v>3</v>
      </c>
      <c r="N175" s="72">
        <v>3</v>
      </c>
      <c r="O175" s="70">
        <v>0</v>
      </c>
      <c r="P175" s="70">
        <v>0</v>
      </c>
      <c r="R175" s="102" t="s">
        <v>91</v>
      </c>
      <c r="T175" s="73" t="s">
        <v>549</v>
      </c>
    </row>
    <row r="176" ht="13.9" spans="1:21">
      <c r="A176" s="69">
        <f t="shared" si="7"/>
        <v>172</v>
      </c>
      <c r="B176" s="69" t="s">
        <v>394</v>
      </c>
      <c r="C176" s="98" t="s">
        <v>551</v>
      </c>
      <c r="D176" s="69" t="s">
        <v>548</v>
      </c>
      <c r="E176" s="99" t="s">
        <v>126</v>
      </c>
      <c r="F176" s="73" t="s">
        <v>549</v>
      </c>
      <c r="G176" s="69" t="s">
        <v>272</v>
      </c>
      <c r="H176" s="225" t="s">
        <v>554</v>
      </c>
      <c r="I176" s="70" t="s">
        <v>555</v>
      </c>
      <c r="J176" s="100" t="s">
        <v>90</v>
      </c>
      <c r="K176" s="71">
        <v>1</v>
      </c>
      <c r="L176" s="72">
        <v>1</v>
      </c>
      <c r="M176" s="72">
        <v>3</v>
      </c>
      <c r="N176" s="72">
        <v>3</v>
      </c>
      <c r="O176" s="70">
        <v>0</v>
      </c>
      <c r="P176" s="70">
        <v>0</v>
      </c>
      <c r="R176" s="102" t="s">
        <v>91</v>
      </c>
      <c r="T176" s="73" t="s">
        <v>549</v>
      </c>
    </row>
    <row r="177" ht="16.5" customHeight="1" spans="1:21">
      <c r="A177" s="69">
        <f t="shared" si="7"/>
        <v>173</v>
      </c>
      <c r="B177" s="69" t="s">
        <v>556</v>
      </c>
      <c r="C177" s="98" t="s">
        <v>329</v>
      </c>
      <c r="D177" s="69" t="s">
        <v>557</v>
      </c>
      <c r="E177" s="99" t="s">
        <v>126</v>
      </c>
      <c r="F177" s="73" t="s">
        <v>549</v>
      </c>
      <c r="G177" s="69" t="s">
        <v>340</v>
      </c>
      <c r="H177" s="70" t="s">
        <v>558</v>
      </c>
      <c r="I177" s="70" t="s">
        <v>559</v>
      </c>
      <c r="J177" s="71" t="s">
        <v>109</v>
      </c>
      <c r="K177" s="71">
        <v>1</v>
      </c>
      <c r="L177" s="72">
        <v>0</v>
      </c>
      <c r="M177" s="72">
        <v>500</v>
      </c>
      <c r="N177" s="70">
        <v>0</v>
      </c>
      <c r="O177" s="70">
        <v>0</v>
      </c>
      <c r="P177" s="70">
        <v>0</v>
      </c>
      <c r="R177" s="102" t="s">
        <v>91</v>
      </c>
      <c r="T177" s="73" t="s">
        <v>549</v>
      </c>
      <c r="U177" s="74" t="s">
        <v>560</v>
      </c>
    </row>
    <row r="178" ht="16.5" customHeight="1" spans="1:21">
      <c r="A178" s="69">
        <f t="shared" si="7"/>
        <v>174</v>
      </c>
      <c r="B178" s="69" t="s">
        <v>556</v>
      </c>
      <c r="C178" s="98" t="s">
        <v>329</v>
      </c>
      <c r="D178" s="69" t="s">
        <v>557</v>
      </c>
      <c r="E178" s="99" t="s">
        <v>126</v>
      </c>
      <c r="F178" s="73" t="s">
        <v>549</v>
      </c>
      <c r="G178" s="69" t="s">
        <v>340</v>
      </c>
      <c r="H178" s="70" t="s">
        <v>561</v>
      </c>
      <c r="I178" s="70" t="s">
        <v>562</v>
      </c>
      <c r="J178" s="71" t="s">
        <v>109</v>
      </c>
      <c r="K178" s="71">
        <v>1</v>
      </c>
      <c r="L178" s="72">
        <v>0</v>
      </c>
      <c r="M178" s="72">
        <v>400</v>
      </c>
      <c r="N178" s="70">
        <v>0</v>
      </c>
      <c r="O178" s="70">
        <v>0</v>
      </c>
      <c r="P178" s="70">
        <v>0</v>
      </c>
      <c r="R178" s="102" t="s">
        <v>91</v>
      </c>
      <c r="T178" s="73" t="s">
        <v>549</v>
      </c>
      <c r="U178" s="74" t="s">
        <v>563</v>
      </c>
    </row>
    <row r="179" ht="13.9" spans="1:21">
      <c r="A179" s="69">
        <f t="shared" si="7"/>
        <v>175</v>
      </c>
      <c r="B179" s="69" t="s">
        <v>556</v>
      </c>
      <c r="C179" s="98" t="s">
        <v>329</v>
      </c>
      <c r="D179" s="69" t="s">
        <v>557</v>
      </c>
      <c r="E179" s="99" t="s">
        <v>126</v>
      </c>
      <c r="F179" s="73" t="s">
        <v>549</v>
      </c>
      <c r="G179" s="69" t="s">
        <v>340</v>
      </c>
      <c r="H179" s="70" t="s">
        <v>564</v>
      </c>
      <c r="I179" s="70" t="s">
        <v>565</v>
      </c>
      <c r="J179" s="71" t="s">
        <v>109</v>
      </c>
      <c r="K179" s="71">
        <v>1</v>
      </c>
      <c r="L179" s="72">
        <v>0</v>
      </c>
      <c r="M179" s="72">
        <v>120</v>
      </c>
      <c r="N179" s="70">
        <v>0</v>
      </c>
      <c r="O179" s="70">
        <v>0</v>
      </c>
      <c r="P179" s="70">
        <v>0</v>
      </c>
      <c r="R179" s="102" t="s">
        <v>91</v>
      </c>
      <c r="T179" s="73" t="s">
        <v>549</v>
      </c>
      <c r="U179" s="74" t="s">
        <v>560</v>
      </c>
    </row>
    <row r="180" ht="16.5" customHeight="1" spans="1:21">
      <c r="A180" s="69">
        <f t="shared" si="7"/>
        <v>176</v>
      </c>
      <c r="B180" s="69" t="s">
        <v>556</v>
      </c>
      <c r="C180" s="98" t="s">
        <v>329</v>
      </c>
      <c r="D180" s="69" t="s">
        <v>557</v>
      </c>
      <c r="E180" s="99" t="s">
        <v>126</v>
      </c>
      <c r="F180" s="73" t="s">
        <v>549</v>
      </c>
      <c r="G180" s="69" t="s">
        <v>340</v>
      </c>
      <c r="H180" s="70" t="s">
        <v>566</v>
      </c>
      <c r="I180" s="70" t="s">
        <v>567</v>
      </c>
      <c r="J180" s="71" t="s">
        <v>109</v>
      </c>
      <c r="K180" s="71">
        <v>1</v>
      </c>
      <c r="L180" s="72">
        <v>0</v>
      </c>
      <c r="M180" s="72">
        <v>800</v>
      </c>
      <c r="N180" s="70">
        <v>0</v>
      </c>
      <c r="O180" s="70">
        <v>0</v>
      </c>
      <c r="P180" s="70">
        <v>0</v>
      </c>
      <c r="R180" s="102" t="s">
        <v>91</v>
      </c>
      <c r="T180" s="73" t="s">
        <v>549</v>
      </c>
      <c r="U180" s="74" t="s">
        <v>568</v>
      </c>
    </row>
    <row r="181" ht="13.9" spans="1:21">
      <c r="A181" s="69">
        <f t="shared" si="7"/>
        <v>177</v>
      </c>
      <c r="B181" s="69" t="s">
        <v>556</v>
      </c>
      <c r="C181" s="98" t="s">
        <v>329</v>
      </c>
      <c r="D181" s="69" t="s">
        <v>557</v>
      </c>
      <c r="E181" s="99" t="s">
        <v>126</v>
      </c>
      <c r="F181" s="73" t="s">
        <v>549</v>
      </c>
      <c r="G181" s="69" t="s">
        <v>340</v>
      </c>
      <c r="H181" s="70" t="s">
        <v>569</v>
      </c>
      <c r="I181" s="70" t="s">
        <v>570</v>
      </c>
      <c r="J181" s="100" t="s">
        <v>90</v>
      </c>
      <c r="K181" s="71">
        <v>1</v>
      </c>
      <c r="L181" s="72">
        <v>1</v>
      </c>
      <c r="M181" s="72">
        <v>400</v>
      </c>
      <c r="N181" s="70">
        <v>400</v>
      </c>
      <c r="O181" s="70">
        <v>0</v>
      </c>
      <c r="P181" s="70">
        <v>0</v>
      </c>
      <c r="R181" s="102" t="s">
        <v>91</v>
      </c>
      <c r="T181" s="73" t="s">
        <v>549</v>
      </c>
    </row>
    <row r="182" ht="13.9" spans="1:21">
      <c r="A182" s="69">
        <f t="shared" si="7"/>
        <v>178</v>
      </c>
      <c r="B182" s="69" t="s">
        <v>571</v>
      </c>
      <c r="C182" s="98" t="s">
        <v>329</v>
      </c>
      <c r="D182" s="69" t="s">
        <v>572</v>
      </c>
      <c r="E182" s="99" t="s">
        <v>126</v>
      </c>
      <c r="F182" s="73" t="s">
        <v>573</v>
      </c>
      <c r="G182" s="69" t="s">
        <v>574</v>
      </c>
      <c r="H182" s="70" t="s">
        <v>575</v>
      </c>
      <c r="I182" s="70" t="s">
        <v>576</v>
      </c>
      <c r="J182" s="100" t="s">
        <v>90</v>
      </c>
      <c r="K182" s="71">
        <v>1</v>
      </c>
      <c r="L182" s="72">
        <v>1</v>
      </c>
      <c r="M182" s="72">
        <v>1.15</v>
      </c>
      <c r="N182" s="72">
        <v>1.15</v>
      </c>
      <c r="O182" s="70">
        <v>0</v>
      </c>
      <c r="P182" s="70">
        <v>0</v>
      </c>
      <c r="R182" s="102" t="s">
        <v>91</v>
      </c>
      <c r="T182" s="73" t="s">
        <v>573</v>
      </c>
    </row>
    <row r="183" ht="13.9" spans="1:21">
      <c r="A183" s="69">
        <f t="shared" si="7"/>
        <v>179</v>
      </c>
      <c r="B183" s="69" t="s">
        <v>571</v>
      </c>
      <c r="C183" s="98" t="s">
        <v>329</v>
      </c>
      <c r="D183" s="69" t="s">
        <v>572</v>
      </c>
      <c r="E183" s="99" t="s">
        <v>126</v>
      </c>
      <c r="F183" s="73" t="s">
        <v>573</v>
      </c>
      <c r="G183" s="69" t="s">
        <v>574</v>
      </c>
      <c r="H183" s="70" t="s">
        <v>577</v>
      </c>
      <c r="I183" s="70" t="s">
        <v>578</v>
      </c>
      <c r="J183" s="100" t="s">
        <v>90</v>
      </c>
      <c r="K183" s="71">
        <v>1</v>
      </c>
      <c r="L183" s="72">
        <v>1</v>
      </c>
      <c r="M183" s="72">
        <v>5</v>
      </c>
      <c r="N183" s="72">
        <v>5</v>
      </c>
      <c r="O183" s="70">
        <v>0</v>
      </c>
      <c r="P183" s="70">
        <v>0</v>
      </c>
      <c r="R183" s="102" t="s">
        <v>91</v>
      </c>
      <c r="T183" s="73" t="s">
        <v>573</v>
      </c>
    </row>
    <row r="184" ht="27.75" spans="1:21">
      <c r="A184" s="69">
        <f t="shared" si="7"/>
        <v>180</v>
      </c>
      <c r="B184" s="69" t="s">
        <v>571</v>
      </c>
      <c r="C184" s="98" t="s">
        <v>329</v>
      </c>
      <c r="D184" s="69" t="s">
        <v>572</v>
      </c>
      <c r="E184" s="99" t="s">
        <v>126</v>
      </c>
      <c r="F184" s="73" t="s">
        <v>573</v>
      </c>
      <c r="G184" s="69" t="s">
        <v>574</v>
      </c>
      <c r="H184" s="70" t="s">
        <v>579</v>
      </c>
      <c r="I184" s="70" t="s">
        <v>146</v>
      </c>
      <c r="J184" s="100" t="s">
        <v>90</v>
      </c>
      <c r="K184" s="71">
        <v>1</v>
      </c>
      <c r="L184" s="72">
        <v>1</v>
      </c>
      <c r="M184" s="72">
        <v>13.6</v>
      </c>
      <c r="N184" s="72">
        <v>13.6</v>
      </c>
      <c r="O184" s="70">
        <v>0</v>
      </c>
      <c r="P184" s="70">
        <v>0</v>
      </c>
      <c r="R184" s="102" t="s">
        <v>91</v>
      </c>
      <c r="T184" s="73" t="s">
        <v>573</v>
      </c>
    </row>
    <row r="185" ht="13.9" spans="1:21">
      <c r="A185" s="69">
        <f t="shared" si="7"/>
        <v>181</v>
      </c>
      <c r="B185" s="69" t="s">
        <v>580</v>
      </c>
      <c r="C185" s="98" t="s">
        <v>581</v>
      </c>
      <c r="D185" s="69" t="s">
        <v>396</v>
      </c>
      <c r="E185" s="99" t="s">
        <v>126</v>
      </c>
      <c r="F185" s="73" t="s">
        <v>582</v>
      </c>
      <c r="G185" s="69" t="s">
        <v>272</v>
      </c>
      <c r="H185" s="225" t="s">
        <v>583</v>
      </c>
      <c r="I185" s="70" t="s">
        <v>584</v>
      </c>
      <c r="J185" s="100" t="s">
        <v>109</v>
      </c>
      <c r="K185" s="71">
        <v>1</v>
      </c>
      <c r="L185" s="72">
        <v>1</v>
      </c>
      <c r="M185" s="72">
        <v>52</v>
      </c>
      <c r="N185" s="70">
        <v>0</v>
      </c>
      <c r="O185" s="70">
        <v>0</v>
      </c>
      <c r="P185" s="70">
        <v>0</v>
      </c>
      <c r="R185" s="102" t="s">
        <v>91</v>
      </c>
      <c r="U185" s="74" t="s">
        <v>585</v>
      </c>
    </row>
    <row r="186" ht="13.9" spans="1:21">
      <c r="A186" s="69">
        <f t="shared" si="7"/>
        <v>182</v>
      </c>
      <c r="B186" s="69" t="s">
        <v>580</v>
      </c>
      <c r="C186" s="98" t="s">
        <v>581</v>
      </c>
      <c r="D186" s="69" t="s">
        <v>396</v>
      </c>
      <c r="E186" s="99" t="s">
        <v>126</v>
      </c>
      <c r="F186" s="73" t="s">
        <v>582</v>
      </c>
      <c r="G186" s="69" t="s">
        <v>272</v>
      </c>
      <c r="H186" s="225" t="s">
        <v>586</v>
      </c>
      <c r="I186" s="70" t="s">
        <v>587</v>
      </c>
      <c r="J186" s="100" t="s">
        <v>109</v>
      </c>
      <c r="K186" s="71">
        <v>1</v>
      </c>
      <c r="L186" s="72">
        <v>1</v>
      </c>
      <c r="M186" s="72">
        <v>12</v>
      </c>
      <c r="N186" s="70">
        <v>0</v>
      </c>
      <c r="O186" s="70">
        <v>0</v>
      </c>
      <c r="P186" s="70">
        <v>0</v>
      </c>
      <c r="R186" s="102" t="s">
        <v>91</v>
      </c>
      <c r="U186" s="74" t="s">
        <v>585</v>
      </c>
    </row>
    <row r="187" ht="13.9" spans="1:21">
      <c r="A187" s="69">
        <f t="shared" si="7"/>
        <v>183</v>
      </c>
      <c r="B187" s="69" t="s">
        <v>580</v>
      </c>
      <c r="C187" s="98" t="s">
        <v>581</v>
      </c>
      <c r="D187" s="69" t="s">
        <v>396</v>
      </c>
      <c r="E187" s="99" t="s">
        <v>126</v>
      </c>
      <c r="F187" s="73" t="s">
        <v>582</v>
      </c>
      <c r="G187" s="69" t="s">
        <v>272</v>
      </c>
      <c r="H187" s="225" t="s">
        <v>588</v>
      </c>
      <c r="I187" s="70" t="s">
        <v>589</v>
      </c>
      <c r="J187" s="100" t="s">
        <v>109</v>
      </c>
      <c r="K187" s="71">
        <v>1</v>
      </c>
      <c r="L187" s="72">
        <v>1</v>
      </c>
      <c r="M187" s="72">
        <v>8</v>
      </c>
      <c r="N187" s="70">
        <v>0</v>
      </c>
      <c r="O187" s="70">
        <v>0</v>
      </c>
      <c r="P187" s="70">
        <v>0</v>
      </c>
      <c r="R187" s="102" t="s">
        <v>91</v>
      </c>
      <c r="U187" s="74" t="s">
        <v>585</v>
      </c>
    </row>
    <row r="188" ht="27.75" spans="1:21">
      <c r="A188" s="69">
        <f t="shared" si="7"/>
        <v>184</v>
      </c>
      <c r="B188" s="69" t="s">
        <v>580</v>
      </c>
      <c r="C188" s="98" t="s">
        <v>581</v>
      </c>
      <c r="D188" s="69" t="s">
        <v>396</v>
      </c>
      <c r="E188" s="99" t="s">
        <v>126</v>
      </c>
      <c r="F188" s="73" t="s">
        <v>582</v>
      </c>
      <c r="G188" s="69" t="s">
        <v>272</v>
      </c>
      <c r="H188" s="225" t="s">
        <v>590</v>
      </c>
      <c r="I188" s="70" t="s">
        <v>591</v>
      </c>
      <c r="J188" s="100" t="s">
        <v>109</v>
      </c>
      <c r="K188" s="71">
        <v>1</v>
      </c>
      <c r="L188" s="72">
        <v>1</v>
      </c>
      <c r="M188" s="72">
        <v>20</v>
      </c>
      <c r="N188" s="70">
        <v>0</v>
      </c>
      <c r="O188" s="70">
        <v>0</v>
      </c>
      <c r="P188" s="70">
        <v>0</v>
      </c>
      <c r="R188" s="102" t="s">
        <v>91</v>
      </c>
      <c r="U188" s="74" t="s">
        <v>585</v>
      </c>
    </row>
    <row r="189" ht="13.9" spans="1:21">
      <c r="A189" s="69">
        <f t="shared" si="7"/>
        <v>185</v>
      </c>
      <c r="B189" s="69" t="s">
        <v>580</v>
      </c>
      <c r="C189" s="98" t="s">
        <v>592</v>
      </c>
      <c r="D189" s="69" t="s">
        <v>593</v>
      </c>
      <c r="E189" s="99" t="s">
        <v>126</v>
      </c>
      <c r="F189" s="73" t="s">
        <v>582</v>
      </c>
      <c r="G189" s="69" t="s">
        <v>272</v>
      </c>
      <c r="H189" s="225" t="s">
        <v>594</v>
      </c>
      <c r="I189" s="70" t="s">
        <v>595</v>
      </c>
      <c r="J189" s="100" t="s">
        <v>109</v>
      </c>
      <c r="K189" s="71">
        <v>1</v>
      </c>
      <c r="L189" s="72">
        <v>1</v>
      </c>
      <c r="M189" s="72">
        <v>56</v>
      </c>
      <c r="N189" s="70">
        <v>0</v>
      </c>
      <c r="O189" s="70">
        <v>0</v>
      </c>
      <c r="P189" s="70">
        <v>0</v>
      </c>
      <c r="R189" s="102" t="s">
        <v>91</v>
      </c>
      <c r="U189" s="74" t="s">
        <v>585</v>
      </c>
    </row>
    <row r="190" ht="27.75" spans="1:21">
      <c r="A190" s="69">
        <f t="shared" si="7"/>
        <v>186</v>
      </c>
      <c r="B190" s="69" t="s">
        <v>580</v>
      </c>
      <c r="C190" s="98" t="s">
        <v>592</v>
      </c>
      <c r="D190" s="69" t="s">
        <v>593</v>
      </c>
      <c r="E190" s="99" t="s">
        <v>126</v>
      </c>
      <c r="F190" s="73" t="s">
        <v>582</v>
      </c>
      <c r="G190" s="69" t="s">
        <v>272</v>
      </c>
      <c r="H190" s="225" t="s">
        <v>596</v>
      </c>
      <c r="I190" s="70" t="s">
        <v>597</v>
      </c>
      <c r="J190" s="100" t="s">
        <v>109</v>
      </c>
      <c r="K190" s="71">
        <v>1</v>
      </c>
      <c r="L190" s="72">
        <v>1</v>
      </c>
      <c r="M190" s="72">
        <v>55</v>
      </c>
      <c r="N190" s="70">
        <v>0</v>
      </c>
      <c r="O190" s="70">
        <v>0</v>
      </c>
      <c r="P190" s="70">
        <v>0</v>
      </c>
      <c r="R190" s="102" t="s">
        <v>91</v>
      </c>
      <c r="U190" s="74" t="s">
        <v>585</v>
      </c>
    </row>
    <row r="191" ht="13.9" spans="1:21">
      <c r="A191" s="69">
        <f t="shared" si="7"/>
        <v>187</v>
      </c>
      <c r="B191" s="69" t="s">
        <v>556</v>
      </c>
      <c r="C191" s="98" t="s">
        <v>598</v>
      </c>
      <c r="D191" s="69" t="s">
        <v>396</v>
      </c>
      <c r="E191" s="99" t="s">
        <v>126</v>
      </c>
      <c r="F191" s="73" t="s">
        <v>599</v>
      </c>
      <c r="G191" s="69" t="s">
        <v>272</v>
      </c>
      <c r="H191" s="225" t="s">
        <v>600</v>
      </c>
      <c r="I191" s="70" t="s">
        <v>601</v>
      </c>
      <c r="J191" s="100" t="s">
        <v>109</v>
      </c>
      <c r="K191" s="71">
        <v>1</v>
      </c>
      <c r="L191" s="72">
        <v>1</v>
      </c>
      <c r="M191" s="72">
        <v>123</v>
      </c>
      <c r="N191" s="70">
        <v>0</v>
      </c>
      <c r="O191" s="70">
        <v>0</v>
      </c>
      <c r="P191" s="70">
        <v>0</v>
      </c>
      <c r="R191" s="102" t="s">
        <v>91</v>
      </c>
      <c r="U191" s="74" t="s">
        <v>585</v>
      </c>
    </row>
    <row r="192" ht="13.9" spans="1:21">
      <c r="A192" s="69">
        <f t="shared" si="7"/>
        <v>188</v>
      </c>
      <c r="B192" s="69" t="s">
        <v>556</v>
      </c>
      <c r="C192" s="98" t="s">
        <v>598</v>
      </c>
      <c r="D192" s="69" t="s">
        <v>396</v>
      </c>
      <c r="E192" s="99" t="s">
        <v>126</v>
      </c>
      <c r="F192" s="73" t="s">
        <v>599</v>
      </c>
      <c r="G192" s="69" t="s">
        <v>272</v>
      </c>
      <c r="H192" s="225" t="s">
        <v>602</v>
      </c>
      <c r="I192" s="225" t="s">
        <v>603</v>
      </c>
      <c r="J192" s="100" t="s">
        <v>109</v>
      </c>
      <c r="K192" s="71">
        <v>1</v>
      </c>
      <c r="L192" s="72">
        <v>1</v>
      </c>
      <c r="M192" s="72">
        <v>26</v>
      </c>
      <c r="N192" s="70">
        <v>0</v>
      </c>
      <c r="O192" s="70">
        <v>0</v>
      </c>
      <c r="P192" s="70">
        <v>0</v>
      </c>
      <c r="R192" s="102" t="s">
        <v>91</v>
      </c>
      <c r="U192" s="74" t="s">
        <v>585</v>
      </c>
    </row>
    <row r="193" ht="13.9" spans="1:21">
      <c r="A193" s="69">
        <f t="shared" si="7"/>
        <v>189</v>
      </c>
      <c r="B193" s="69" t="s">
        <v>556</v>
      </c>
      <c r="C193" s="98" t="s">
        <v>598</v>
      </c>
      <c r="D193" s="69" t="s">
        <v>396</v>
      </c>
      <c r="E193" s="99" t="s">
        <v>126</v>
      </c>
      <c r="F193" s="73" t="s">
        <v>599</v>
      </c>
      <c r="G193" s="69" t="s">
        <v>272</v>
      </c>
      <c r="H193" s="225" t="s">
        <v>602</v>
      </c>
      <c r="I193" s="225" t="s">
        <v>604</v>
      </c>
      <c r="J193" s="100" t="s">
        <v>109</v>
      </c>
      <c r="K193" s="71">
        <v>1</v>
      </c>
      <c r="L193" s="72">
        <v>1</v>
      </c>
      <c r="M193" s="72">
        <v>46</v>
      </c>
      <c r="N193" s="70">
        <v>0</v>
      </c>
      <c r="O193" s="70">
        <v>0</v>
      </c>
      <c r="P193" s="70">
        <v>0</v>
      </c>
      <c r="R193" s="102" t="s">
        <v>91</v>
      </c>
      <c r="U193" s="74" t="s">
        <v>585</v>
      </c>
    </row>
    <row r="194" ht="13.9" spans="1:21">
      <c r="A194" s="69">
        <f t="shared" si="7"/>
        <v>190</v>
      </c>
      <c r="B194" s="69" t="s">
        <v>556</v>
      </c>
      <c r="C194" s="98" t="s">
        <v>598</v>
      </c>
      <c r="D194" s="69" t="s">
        <v>396</v>
      </c>
      <c r="E194" s="99" t="s">
        <v>126</v>
      </c>
      <c r="F194" s="73" t="s">
        <v>599</v>
      </c>
      <c r="G194" s="69" t="s">
        <v>272</v>
      </c>
      <c r="H194" s="225" t="s">
        <v>605</v>
      </c>
      <c r="I194" s="70" t="s">
        <v>606</v>
      </c>
      <c r="J194" s="100" t="s">
        <v>109</v>
      </c>
      <c r="K194" s="71">
        <v>1</v>
      </c>
      <c r="L194" s="72">
        <v>1</v>
      </c>
      <c r="M194" s="72">
        <v>5</v>
      </c>
      <c r="N194" s="70">
        <v>0</v>
      </c>
      <c r="O194" s="70">
        <v>0</v>
      </c>
      <c r="P194" s="70">
        <v>0</v>
      </c>
      <c r="R194" s="102" t="s">
        <v>91</v>
      </c>
      <c r="U194" s="74" t="s">
        <v>585</v>
      </c>
    </row>
    <row r="195" ht="13.9" spans="1:21">
      <c r="A195" s="69">
        <f t="shared" si="7"/>
        <v>191</v>
      </c>
      <c r="B195" s="69" t="s">
        <v>556</v>
      </c>
      <c r="C195" s="98" t="s">
        <v>607</v>
      </c>
      <c r="D195" s="69" t="s">
        <v>593</v>
      </c>
      <c r="E195" s="99" t="s">
        <v>126</v>
      </c>
      <c r="F195" s="73" t="s">
        <v>599</v>
      </c>
      <c r="G195" s="69" t="s">
        <v>272</v>
      </c>
      <c r="H195" s="225" t="s">
        <v>608</v>
      </c>
      <c r="I195" s="70" t="s">
        <v>609</v>
      </c>
      <c r="J195" s="100" t="s">
        <v>109</v>
      </c>
      <c r="K195" s="71">
        <v>1</v>
      </c>
      <c r="L195" s="72">
        <v>1</v>
      </c>
      <c r="M195" s="72">
        <v>155</v>
      </c>
      <c r="N195" s="70">
        <v>0</v>
      </c>
      <c r="O195" s="70">
        <v>0</v>
      </c>
      <c r="P195" s="70">
        <v>0</v>
      </c>
      <c r="R195" s="102" t="s">
        <v>91</v>
      </c>
      <c r="U195" s="74" t="s">
        <v>585</v>
      </c>
    </row>
    <row r="196" ht="13.9" spans="1:21">
      <c r="A196" s="69">
        <f t="shared" si="7"/>
        <v>192</v>
      </c>
      <c r="B196" s="69" t="s">
        <v>556</v>
      </c>
      <c r="C196" s="98" t="s">
        <v>607</v>
      </c>
      <c r="D196" s="69" t="s">
        <v>593</v>
      </c>
      <c r="E196" s="99" t="s">
        <v>126</v>
      </c>
      <c r="F196" s="73" t="s">
        <v>599</v>
      </c>
      <c r="G196" s="69" t="s">
        <v>272</v>
      </c>
      <c r="H196" s="225" t="s">
        <v>608</v>
      </c>
      <c r="I196" s="70" t="s">
        <v>610</v>
      </c>
      <c r="J196" s="100" t="s">
        <v>109</v>
      </c>
      <c r="K196" s="71">
        <v>1</v>
      </c>
      <c r="L196" s="72">
        <v>1</v>
      </c>
      <c r="M196" s="72">
        <v>200</v>
      </c>
      <c r="N196" s="70">
        <v>0</v>
      </c>
      <c r="O196" s="70">
        <v>0</v>
      </c>
      <c r="P196" s="70">
        <v>0</v>
      </c>
      <c r="R196" s="102" t="s">
        <v>91</v>
      </c>
      <c r="U196" s="74" t="s">
        <v>585</v>
      </c>
    </row>
    <row r="197" ht="13.9" spans="1:21">
      <c r="A197" s="69">
        <f t="shared" ref="A197:A260" si="9">ROW()-4</f>
        <v>193</v>
      </c>
      <c r="B197" s="69" t="s">
        <v>556</v>
      </c>
      <c r="C197" s="98" t="s">
        <v>607</v>
      </c>
      <c r="D197" s="69" t="s">
        <v>593</v>
      </c>
      <c r="E197" s="99" t="s">
        <v>126</v>
      </c>
      <c r="F197" s="73" t="s">
        <v>599</v>
      </c>
      <c r="G197" s="69" t="s">
        <v>272</v>
      </c>
      <c r="H197" s="225" t="s">
        <v>611</v>
      </c>
      <c r="I197" s="70" t="s">
        <v>612</v>
      </c>
      <c r="J197" s="100" t="s">
        <v>109</v>
      </c>
      <c r="K197" s="71">
        <v>1</v>
      </c>
      <c r="L197" s="72">
        <v>1</v>
      </c>
      <c r="M197" s="72">
        <v>100</v>
      </c>
      <c r="N197" s="70">
        <v>0</v>
      </c>
      <c r="O197" s="70">
        <v>0</v>
      </c>
      <c r="P197" s="70">
        <v>0</v>
      </c>
      <c r="R197" s="102" t="s">
        <v>91</v>
      </c>
      <c r="U197" s="74" t="s">
        <v>585</v>
      </c>
    </row>
    <row r="198" ht="16.5" customHeight="1" spans="1:21">
      <c r="A198" s="69">
        <f t="shared" si="9"/>
        <v>194</v>
      </c>
      <c r="B198" s="69" t="s">
        <v>394</v>
      </c>
      <c r="C198" s="98" t="s">
        <v>329</v>
      </c>
      <c r="D198" s="69" t="s">
        <v>613</v>
      </c>
      <c r="E198" s="69" t="s">
        <v>126</v>
      </c>
      <c r="F198" s="73" t="s">
        <v>614</v>
      </c>
      <c r="G198" s="69" t="s">
        <v>87</v>
      </c>
      <c r="H198" s="225" t="s">
        <v>615</v>
      </c>
      <c r="I198" s="225" t="s">
        <v>616</v>
      </c>
      <c r="J198" s="100" t="s">
        <v>90</v>
      </c>
      <c r="K198" s="71">
        <v>1</v>
      </c>
      <c r="L198" s="72">
        <v>1</v>
      </c>
      <c r="M198" s="72">
        <v>7.13</v>
      </c>
      <c r="N198" s="70">
        <v>0</v>
      </c>
      <c r="O198" s="70">
        <v>0</v>
      </c>
      <c r="P198" s="70">
        <v>0</v>
      </c>
      <c r="R198" s="102" t="s">
        <v>91</v>
      </c>
    </row>
    <row r="199" ht="16.5" customHeight="1" spans="1:21">
      <c r="A199" s="69">
        <f t="shared" si="9"/>
        <v>195</v>
      </c>
      <c r="B199" s="69" t="s">
        <v>394</v>
      </c>
      <c r="C199" s="98" t="s">
        <v>329</v>
      </c>
      <c r="D199" s="69" t="s">
        <v>613</v>
      </c>
      <c r="E199" s="69" t="s">
        <v>126</v>
      </c>
      <c r="F199" s="73" t="s">
        <v>614</v>
      </c>
      <c r="G199" s="69" t="s">
        <v>87</v>
      </c>
      <c r="H199" s="225" t="s">
        <v>617</v>
      </c>
      <c r="I199" s="225" t="s">
        <v>618</v>
      </c>
      <c r="J199" s="100" t="s">
        <v>90</v>
      </c>
      <c r="K199" s="71">
        <v>1</v>
      </c>
      <c r="L199" s="72">
        <v>1</v>
      </c>
      <c r="M199" s="72">
        <v>1.82</v>
      </c>
      <c r="N199" s="70">
        <v>0</v>
      </c>
      <c r="O199" s="70">
        <v>0</v>
      </c>
      <c r="P199" s="70">
        <v>0</v>
      </c>
      <c r="R199" s="102" t="s">
        <v>91</v>
      </c>
    </row>
    <row r="200" ht="16.5" customHeight="1" spans="1:21">
      <c r="A200" s="69">
        <f t="shared" si="9"/>
        <v>196</v>
      </c>
      <c r="B200" s="69" t="s">
        <v>394</v>
      </c>
      <c r="C200" s="98" t="s">
        <v>329</v>
      </c>
      <c r="D200" s="69" t="s">
        <v>613</v>
      </c>
      <c r="E200" s="69" t="s">
        <v>126</v>
      </c>
      <c r="F200" s="73" t="s">
        <v>614</v>
      </c>
      <c r="G200" s="69" t="s">
        <v>87</v>
      </c>
      <c r="H200" s="225" t="s">
        <v>619</v>
      </c>
      <c r="I200" s="225" t="s">
        <v>620</v>
      </c>
      <c r="J200" s="100" t="s">
        <v>90</v>
      </c>
      <c r="K200" s="71">
        <v>1</v>
      </c>
      <c r="L200" s="72">
        <v>1</v>
      </c>
      <c r="M200" s="72">
        <v>2.3</v>
      </c>
      <c r="N200" s="70">
        <v>0</v>
      </c>
      <c r="O200" s="70">
        <v>0</v>
      </c>
      <c r="P200" s="70">
        <v>0</v>
      </c>
      <c r="R200" s="102" t="s">
        <v>91</v>
      </c>
    </row>
    <row r="201" ht="16.5" customHeight="1" spans="1:21">
      <c r="A201" s="69">
        <f t="shared" si="9"/>
        <v>197</v>
      </c>
      <c r="B201" s="69" t="s">
        <v>394</v>
      </c>
      <c r="C201" s="98" t="s">
        <v>329</v>
      </c>
      <c r="D201" s="69" t="s">
        <v>613</v>
      </c>
      <c r="E201" s="69" t="s">
        <v>126</v>
      </c>
      <c r="F201" s="73" t="s">
        <v>614</v>
      </c>
      <c r="G201" s="69" t="s">
        <v>87</v>
      </c>
      <c r="H201" s="225" t="s">
        <v>621</v>
      </c>
      <c r="I201" s="225" t="s">
        <v>622</v>
      </c>
      <c r="J201" s="100" t="s">
        <v>109</v>
      </c>
      <c r="K201" s="71">
        <v>1</v>
      </c>
      <c r="L201" s="72">
        <v>0</v>
      </c>
      <c r="M201" s="72">
        <v>0.8</v>
      </c>
      <c r="N201" s="70">
        <v>0</v>
      </c>
      <c r="O201" s="70">
        <v>0</v>
      </c>
      <c r="P201" s="70">
        <v>0</v>
      </c>
      <c r="R201" s="102" t="s">
        <v>91</v>
      </c>
      <c r="U201" s="74" t="s">
        <v>623</v>
      </c>
    </row>
    <row r="202" ht="13.9" spans="1:21">
      <c r="A202" s="69">
        <f t="shared" si="9"/>
        <v>198</v>
      </c>
      <c r="B202" s="69" t="s">
        <v>394</v>
      </c>
      <c r="C202" s="98" t="s">
        <v>329</v>
      </c>
      <c r="D202" s="69" t="s">
        <v>613</v>
      </c>
      <c r="E202" s="69" t="s">
        <v>126</v>
      </c>
      <c r="F202" s="73" t="s">
        <v>614</v>
      </c>
      <c r="G202" s="69" t="s">
        <v>87</v>
      </c>
      <c r="H202" s="70" t="s">
        <v>624</v>
      </c>
      <c r="I202" s="71" t="s">
        <v>625</v>
      </c>
      <c r="J202" s="100" t="s">
        <v>109</v>
      </c>
      <c r="K202" s="71">
        <v>1</v>
      </c>
      <c r="L202" s="72">
        <v>0</v>
      </c>
      <c r="M202" s="72">
        <v>31.95</v>
      </c>
      <c r="N202" s="70">
        <v>0</v>
      </c>
      <c r="O202" s="70">
        <v>0</v>
      </c>
      <c r="P202" s="70">
        <v>0</v>
      </c>
      <c r="R202" s="102" t="s">
        <v>91</v>
      </c>
      <c r="U202" s="74" t="s">
        <v>626</v>
      </c>
    </row>
    <row r="203" ht="13.9" spans="1:21">
      <c r="A203" s="69">
        <f t="shared" si="9"/>
        <v>199</v>
      </c>
      <c r="B203" s="97" t="s">
        <v>627</v>
      </c>
      <c r="C203" s="98" t="s">
        <v>329</v>
      </c>
      <c r="D203" s="69" t="s">
        <v>628</v>
      </c>
      <c r="E203" s="69" t="s">
        <v>126</v>
      </c>
      <c r="F203" s="73" t="s">
        <v>629</v>
      </c>
      <c r="G203" s="69" t="s">
        <v>87</v>
      </c>
      <c r="H203" s="70" t="s">
        <v>630</v>
      </c>
      <c r="I203" s="70" t="s">
        <v>631</v>
      </c>
      <c r="J203" s="100" t="s">
        <v>90</v>
      </c>
      <c r="K203" s="71">
        <v>1</v>
      </c>
      <c r="L203" s="72">
        <v>1</v>
      </c>
      <c r="M203" s="72">
        <v>7.34</v>
      </c>
      <c r="N203" s="70">
        <v>0</v>
      </c>
      <c r="O203" s="70">
        <v>0</v>
      </c>
      <c r="P203" s="70">
        <v>0</v>
      </c>
      <c r="R203" s="102" t="s">
        <v>91</v>
      </c>
    </row>
    <row r="204" ht="16.5" customHeight="1" spans="1:21">
      <c r="A204" s="69">
        <f t="shared" si="9"/>
        <v>200</v>
      </c>
      <c r="B204" s="97" t="s">
        <v>627</v>
      </c>
      <c r="C204" s="98" t="s">
        <v>329</v>
      </c>
      <c r="D204" s="69" t="s">
        <v>628</v>
      </c>
      <c r="E204" s="69" t="s">
        <v>126</v>
      </c>
      <c r="F204" s="73" t="s">
        <v>629</v>
      </c>
      <c r="G204" s="69" t="s">
        <v>87</v>
      </c>
      <c r="H204" s="70" t="s">
        <v>632</v>
      </c>
      <c r="I204" s="70" t="s">
        <v>633</v>
      </c>
      <c r="J204" s="100" t="s">
        <v>109</v>
      </c>
      <c r="K204" s="71">
        <v>1</v>
      </c>
      <c r="L204" s="72">
        <v>0</v>
      </c>
      <c r="M204" s="72">
        <v>18.64</v>
      </c>
      <c r="N204" s="70">
        <v>0</v>
      </c>
      <c r="O204" s="70">
        <v>0</v>
      </c>
      <c r="P204" s="70">
        <v>0</v>
      </c>
      <c r="R204" s="102" t="s">
        <v>91</v>
      </c>
      <c r="U204" s="74" t="s">
        <v>634</v>
      </c>
    </row>
    <row r="205" ht="13.9" spans="1:21">
      <c r="A205" s="69">
        <f t="shared" si="9"/>
        <v>201</v>
      </c>
      <c r="B205" s="97" t="s">
        <v>627</v>
      </c>
      <c r="C205" s="98" t="s">
        <v>329</v>
      </c>
      <c r="D205" s="69" t="s">
        <v>628</v>
      </c>
      <c r="E205" s="69" t="s">
        <v>126</v>
      </c>
      <c r="F205" s="73" t="s">
        <v>629</v>
      </c>
      <c r="G205" s="69" t="s">
        <v>87</v>
      </c>
      <c r="H205" s="70" t="s">
        <v>635</v>
      </c>
      <c r="I205" s="70" t="s">
        <v>636</v>
      </c>
      <c r="J205" s="100" t="s">
        <v>109</v>
      </c>
      <c r="K205" s="71">
        <v>1</v>
      </c>
      <c r="L205" s="72">
        <v>0</v>
      </c>
      <c r="M205" s="72">
        <v>3.45</v>
      </c>
      <c r="N205" s="70">
        <v>0</v>
      </c>
      <c r="O205" s="70">
        <v>0</v>
      </c>
      <c r="P205" s="70">
        <v>0</v>
      </c>
      <c r="R205" s="102" t="s">
        <v>91</v>
      </c>
      <c r="U205" s="74" t="s">
        <v>637</v>
      </c>
    </row>
    <row r="206" ht="16.5" customHeight="1" spans="1:21">
      <c r="A206" s="69">
        <f t="shared" si="9"/>
        <v>202</v>
      </c>
      <c r="B206" s="97" t="s">
        <v>627</v>
      </c>
      <c r="C206" s="98" t="s">
        <v>329</v>
      </c>
      <c r="D206" s="69" t="s">
        <v>628</v>
      </c>
      <c r="E206" s="69" t="s">
        <v>126</v>
      </c>
      <c r="F206" s="73" t="s">
        <v>629</v>
      </c>
      <c r="G206" s="69" t="s">
        <v>87</v>
      </c>
      <c r="H206" s="70" t="s">
        <v>638</v>
      </c>
      <c r="I206" s="70" t="s">
        <v>639</v>
      </c>
      <c r="J206" s="100" t="s">
        <v>109</v>
      </c>
      <c r="K206" s="71">
        <v>1</v>
      </c>
      <c r="L206" s="72">
        <v>0</v>
      </c>
      <c r="M206" s="72">
        <v>0.2</v>
      </c>
      <c r="N206" s="70">
        <v>0</v>
      </c>
      <c r="O206" s="70">
        <v>0</v>
      </c>
      <c r="P206" s="70">
        <v>0</v>
      </c>
      <c r="R206" s="102" t="s">
        <v>91</v>
      </c>
      <c r="U206" s="74" t="s">
        <v>640</v>
      </c>
    </row>
    <row r="207" ht="16.5" customHeight="1" spans="1:21">
      <c r="A207" s="69">
        <f t="shared" si="9"/>
        <v>203</v>
      </c>
      <c r="B207" s="97" t="s">
        <v>627</v>
      </c>
      <c r="C207" s="98" t="s">
        <v>329</v>
      </c>
      <c r="D207" s="69" t="s">
        <v>628</v>
      </c>
      <c r="E207" s="69" t="s">
        <v>126</v>
      </c>
      <c r="F207" s="73" t="s">
        <v>629</v>
      </c>
      <c r="G207" s="69" t="s">
        <v>87</v>
      </c>
      <c r="H207" s="70" t="s">
        <v>641</v>
      </c>
      <c r="I207" s="71" t="s">
        <v>642</v>
      </c>
      <c r="J207" s="100" t="s">
        <v>109</v>
      </c>
      <c r="K207" s="71">
        <v>1</v>
      </c>
      <c r="L207" s="72">
        <v>0</v>
      </c>
      <c r="M207" s="72">
        <v>33.8</v>
      </c>
      <c r="N207" s="70">
        <v>0</v>
      </c>
      <c r="O207" s="70">
        <v>0</v>
      </c>
      <c r="P207" s="70">
        <v>0</v>
      </c>
      <c r="R207" s="102" t="s">
        <v>91</v>
      </c>
      <c r="U207" s="74" t="s">
        <v>369</v>
      </c>
    </row>
    <row r="208" ht="16.5" customHeight="1" spans="1:21">
      <c r="A208" s="69">
        <f t="shared" si="9"/>
        <v>204</v>
      </c>
      <c r="B208" s="69" t="s">
        <v>643</v>
      </c>
      <c r="C208" s="98" t="s">
        <v>329</v>
      </c>
      <c r="D208" s="69" t="s">
        <v>644</v>
      </c>
      <c r="E208" s="69" t="s">
        <v>126</v>
      </c>
      <c r="F208" s="110">
        <v>45772</v>
      </c>
      <c r="G208" s="69" t="s">
        <v>87</v>
      </c>
      <c r="H208" s="70" t="s">
        <v>645</v>
      </c>
      <c r="I208" s="70" t="s">
        <v>646</v>
      </c>
      <c r="J208" s="100" t="s">
        <v>109</v>
      </c>
      <c r="K208" s="71">
        <v>1</v>
      </c>
      <c r="L208" s="72">
        <v>0</v>
      </c>
      <c r="M208" s="71">
        <v>43.12</v>
      </c>
      <c r="N208" s="70">
        <v>0</v>
      </c>
      <c r="O208" s="70">
        <v>0</v>
      </c>
      <c r="P208" s="70">
        <v>0</v>
      </c>
      <c r="R208" s="102" t="s">
        <v>91</v>
      </c>
      <c r="U208" s="74" t="s">
        <v>647</v>
      </c>
    </row>
    <row r="209" ht="16.5" customHeight="1" spans="1:21">
      <c r="A209" s="69">
        <f t="shared" si="9"/>
        <v>205</v>
      </c>
      <c r="B209" s="69" t="s">
        <v>643</v>
      </c>
      <c r="C209" s="98" t="s">
        <v>329</v>
      </c>
      <c r="D209" s="69" t="s">
        <v>644</v>
      </c>
      <c r="E209" s="69" t="s">
        <v>126</v>
      </c>
      <c r="F209" s="110">
        <v>45772</v>
      </c>
      <c r="G209" s="69" t="s">
        <v>87</v>
      </c>
      <c r="H209" s="70" t="s">
        <v>648</v>
      </c>
      <c r="I209" s="70" t="s">
        <v>646</v>
      </c>
      <c r="J209" s="100" t="s">
        <v>109</v>
      </c>
      <c r="K209" s="71">
        <v>1</v>
      </c>
      <c r="L209" s="72">
        <v>0</v>
      </c>
      <c r="M209" s="71">
        <v>39.71</v>
      </c>
      <c r="N209" s="70">
        <v>0</v>
      </c>
      <c r="O209" s="70">
        <v>0</v>
      </c>
      <c r="P209" s="70">
        <v>0</v>
      </c>
      <c r="R209" s="102" t="s">
        <v>91</v>
      </c>
      <c r="U209" s="74" t="s">
        <v>634</v>
      </c>
    </row>
    <row r="210" ht="16.5" customHeight="1" spans="1:21">
      <c r="A210" s="69">
        <f t="shared" si="9"/>
        <v>206</v>
      </c>
      <c r="B210" s="69" t="s">
        <v>643</v>
      </c>
      <c r="C210" s="98" t="s">
        <v>329</v>
      </c>
      <c r="D210" s="69" t="s">
        <v>644</v>
      </c>
      <c r="E210" s="69" t="s">
        <v>126</v>
      </c>
      <c r="F210" s="110">
        <v>45772</v>
      </c>
      <c r="G210" s="69" t="s">
        <v>87</v>
      </c>
      <c r="H210" s="70" t="s">
        <v>649</v>
      </c>
      <c r="I210" s="70" t="s">
        <v>650</v>
      </c>
      <c r="J210" s="100" t="s">
        <v>109</v>
      </c>
      <c r="K210" s="71">
        <v>1</v>
      </c>
      <c r="L210" s="72">
        <v>0</v>
      </c>
      <c r="M210" s="71">
        <v>8.15</v>
      </c>
      <c r="N210" s="70">
        <v>0</v>
      </c>
      <c r="O210" s="70">
        <v>0</v>
      </c>
      <c r="P210" s="70">
        <v>0</v>
      </c>
      <c r="R210" s="102" t="s">
        <v>91</v>
      </c>
      <c r="U210" s="74" t="s">
        <v>637</v>
      </c>
    </row>
    <row r="211" ht="16.5" customHeight="1" spans="1:21">
      <c r="A211" s="69">
        <f t="shared" si="9"/>
        <v>207</v>
      </c>
      <c r="B211" s="69" t="s">
        <v>643</v>
      </c>
      <c r="C211" s="98" t="s">
        <v>329</v>
      </c>
      <c r="D211" s="69" t="s">
        <v>644</v>
      </c>
      <c r="E211" s="69" t="s">
        <v>126</v>
      </c>
      <c r="F211" s="110">
        <v>45772</v>
      </c>
      <c r="G211" s="69" t="s">
        <v>87</v>
      </c>
      <c r="H211" s="70" t="s">
        <v>651</v>
      </c>
      <c r="I211" s="70" t="s">
        <v>652</v>
      </c>
      <c r="J211" s="100" t="s">
        <v>109</v>
      </c>
      <c r="K211" s="71">
        <v>1</v>
      </c>
      <c r="L211" s="72">
        <v>0</v>
      </c>
      <c r="M211" s="71">
        <v>3.45</v>
      </c>
      <c r="N211" s="70">
        <v>0</v>
      </c>
      <c r="O211" s="70">
        <v>0</v>
      </c>
      <c r="P211" s="70">
        <v>0</v>
      </c>
      <c r="R211" s="102" t="s">
        <v>91</v>
      </c>
      <c r="U211" s="74" t="s">
        <v>637</v>
      </c>
    </row>
    <row r="212" ht="16.5" customHeight="1" spans="1:21">
      <c r="A212" s="69">
        <f t="shared" si="9"/>
        <v>208</v>
      </c>
      <c r="B212" s="69" t="s">
        <v>643</v>
      </c>
      <c r="C212" s="98" t="s">
        <v>329</v>
      </c>
      <c r="D212" s="69" t="s">
        <v>644</v>
      </c>
      <c r="E212" s="69" t="s">
        <v>126</v>
      </c>
      <c r="F212" s="110">
        <v>45772</v>
      </c>
      <c r="G212" s="69" t="s">
        <v>87</v>
      </c>
      <c r="H212" s="119" t="s">
        <v>653</v>
      </c>
      <c r="I212" s="70" t="s">
        <v>654</v>
      </c>
      <c r="J212" s="100" t="s">
        <v>109</v>
      </c>
      <c r="K212" s="71">
        <v>1</v>
      </c>
      <c r="L212" s="72">
        <v>0</v>
      </c>
      <c r="M212" s="120">
        <v>34.19</v>
      </c>
      <c r="N212" s="70">
        <v>0</v>
      </c>
      <c r="O212" s="70">
        <v>0</v>
      </c>
      <c r="P212" s="70">
        <v>0</v>
      </c>
      <c r="R212" s="102" t="s">
        <v>91</v>
      </c>
      <c r="U212" s="121" t="s">
        <v>655</v>
      </c>
    </row>
    <row r="213" ht="33" customHeight="1" spans="1:21">
      <c r="A213" s="69">
        <f t="shared" si="9"/>
        <v>209</v>
      </c>
      <c r="B213" s="69" t="s">
        <v>643</v>
      </c>
      <c r="C213" s="98" t="s">
        <v>329</v>
      </c>
      <c r="D213" s="69" t="s">
        <v>644</v>
      </c>
      <c r="E213" s="69" t="s">
        <v>126</v>
      </c>
      <c r="F213" s="110">
        <v>45772</v>
      </c>
      <c r="G213" s="69" t="s">
        <v>87</v>
      </c>
      <c r="H213" s="90"/>
      <c r="I213" s="70" t="s">
        <v>656</v>
      </c>
      <c r="J213" s="100" t="s">
        <v>109</v>
      </c>
      <c r="K213" s="71">
        <v>1</v>
      </c>
      <c r="L213" s="72">
        <v>0</v>
      </c>
      <c r="M213" s="122"/>
      <c r="N213" s="70">
        <v>0</v>
      </c>
      <c r="O213" s="70">
        <v>0</v>
      </c>
      <c r="P213" s="70">
        <v>0</v>
      </c>
      <c r="R213" s="102" t="s">
        <v>91</v>
      </c>
      <c r="U213" s="123"/>
    </row>
    <row r="214" ht="16.5" customHeight="1" spans="1:21">
      <c r="A214" s="69">
        <f t="shared" si="9"/>
        <v>210</v>
      </c>
      <c r="B214" s="69" t="s">
        <v>643</v>
      </c>
      <c r="C214" s="98" t="s">
        <v>329</v>
      </c>
      <c r="D214" s="69" t="s">
        <v>644</v>
      </c>
      <c r="E214" s="69" t="s">
        <v>126</v>
      </c>
      <c r="F214" s="110">
        <v>45772</v>
      </c>
      <c r="G214" s="69" t="s">
        <v>87</v>
      </c>
      <c r="H214" s="70" t="s">
        <v>657</v>
      </c>
      <c r="I214" s="71" t="s">
        <v>658</v>
      </c>
      <c r="J214" s="100" t="s">
        <v>109</v>
      </c>
      <c r="K214" s="71">
        <v>1</v>
      </c>
      <c r="L214" s="72">
        <v>0</v>
      </c>
      <c r="M214" s="72">
        <v>196.04</v>
      </c>
      <c r="N214" s="70">
        <v>0</v>
      </c>
      <c r="O214" s="70">
        <v>0</v>
      </c>
      <c r="P214" s="70">
        <v>0</v>
      </c>
      <c r="R214" s="102" t="s">
        <v>91</v>
      </c>
      <c r="U214" s="74" t="s">
        <v>659</v>
      </c>
    </row>
    <row r="215" ht="16.5" customHeight="1" spans="1:21">
      <c r="A215" s="69">
        <f t="shared" si="9"/>
        <v>211</v>
      </c>
      <c r="B215" s="69" t="s">
        <v>556</v>
      </c>
      <c r="C215" s="98" t="s">
        <v>329</v>
      </c>
      <c r="D215" s="69" t="s">
        <v>481</v>
      </c>
      <c r="E215" s="69" t="s">
        <v>126</v>
      </c>
      <c r="F215" s="110" t="s">
        <v>660</v>
      </c>
      <c r="G215" s="69" t="s">
        <v>87</v>
      </c>
      <c r="H215" s="70" t="s">
        <v>661</v>
      </c>
      <c r="I215" s="70" t="s">
        <v>662</v>
      </c>
      <c r="J215" s="100" t="s">
        <v>109</v>
      </c>
      <c r="K215" s="71">
        <v>1</v>
      </c>
      <c r="L215" s="72">
        <v>0</v>
      </c>
      <c r="M215" s="72">
        <v>2.16</v>
      </c>
      <c r="N215" s="70">
        <v>0</v>
      </c>
      <c r="O215" s="70">
        <v>0</v>
      </c>
      <c r="P215" s="70">
        <v>0</v>
      </c>
      <c r="R215" s="102" t="s">
        <v>91</v>
      </c>
      <c r="U215" s="74" t="s">
        <v>663</v>
      </c>
    </row>
    <row r="216" ht="13.9" spans="1:21">
      <c r="A216" s="69">
        <f t="shared" si="9"/>
        <v>212</v>
      </c>
      <c r="B216" s="69" t="s">
        <v>556</v>
      </c>
      <c r="C216" s="98" t="s">
        <v>329</v>
      </c>
      <c r="D216" s="69" t="s">
        <v>481</v>
      </c>
      <c r="E216" s="69" t="s">
        <v>126</v>
      </c>
      <c r="F216" s="110">
        <v>45802</v>
      </c>
      <c r="G216" s="69" t="s">
        <v>87</v>
      </c>
      <c r="H216" s="70" t="s">
        <v>664</v>
      </c>
      <c r="I216" s="70" t="s">
        <v>665</v>
      </c>
      <c r="J216" s="100" t="s">
        <v>90</v>
      </c>
      <c r="K216" s="71">
        <v>1</v>
      </c>
      <c r="L216" s="72">
        <v>1</v>
      </c>
      <c r="M216" s="124">
        <v>1.24155059223834</v>
      </c>
      <c r="N216" s="70">
        <v>0</v>
      </c>
      <c r="O216" s="70">
        <v>0</v>
      </c>
      <c r="P216" s="70">
        <v>0</v>
      </c>
      <c r="R216" s="102" t="s">
        <v>91</v>
      </c>
    </row>
    <row r="217" ht="16.5" customHeight="1" spans="1:21">
      <c r="A217" s="69">
        <f t="shared" si="9"/>
        <v>213</v>
      </c>
      <c r="B217" s="69" t="s">
        <v>556</v>
      </c>
      <c r="C217" s="98" t="s">
        <v>329</v>
      </c>
      <c r="D217" s="69" t="s">
        <v>481</v>
      </c>
      <c r="E217" s="69" t="s">
        <v>126</v>
      </c>
      <c r="F217" s="110">
        <v>45802</v>
      </c>
      <c r="G217" s="69" t="s">
        <v>87</v>
      </c>
      <c r="H217" s="70" t="s">
        <v>666</v>
      </c>
      <c r="I217" s="70" t="s">
        <v>667</v>
      </c>
      <c r="J217" s="100" t="s">
        <v>109</v>
      </c>
      <c r="K217" s="71">
        <v>1</v>
      </c>
      <c r="L217" s="72">
        <v>0</v>
      </c>
      <c r="M217" s="124">
        <v>5.88073369120611</v>
      </c>
      <c r="N217" s="70">
        <v>0</v>
      </c>
      <c r="O217" s="70">
        <v>0</v>
      </c>
      <c r="P217" s="70">
        <v>0</v>
      </c>
      <c r="R217" s="102" t="s">
        <v>91</v>
      </c>
      <c r="U217" s="74" t="s">
        <v>668</v>
      </c>
    </row>
    <row r="218" ht="16.5" customHeight="1" spans="1:21">
      <c r="A218" s="69">
        <f t="shared" si="9"/>
        <v>214</v>
      </c>
      <c r="B218" s="69" t="s">
        <v>556</v>
      </c>
      <c r="C218" s="98" t="s">
        <v>329</v>
      </c>
      <c r="D218" s="69" t="s">
        <v>481</v>
      </c>
      <c r="E218" s="69" t="s">
        <v>126</v>
      </c>
      <c r="F218" s="110">
        <v>45802</v>
      </c>
      <c r="G218" s="69" t="s">
        <v>87</v>
      </c>
      <c r="H218" s="70" t="s">
        <v>669</v>
      </c>
      <c r="I218" s="70" t="s">
        <v>670</v>
      </c>
      <c r="J218" s="100" t="s">
        <v>109</v>
      </c>
      <c r="K218" s="71">
        <v>1</v>
      </c>
      <c r="L218" s="72">
        <v>0</v>
      </c>
      <c r="M218" s="124">
        <v>6.19024599074329</v>
      </c>
      <c r="N218" s="70">
        <v>0</v>
      </c>
      <c r="O218" s="70">
        <v>0</v>
      </c>
      <c r="P218" s="70">
        <v>0</v>
      </c>
      <c r="R218" s="102" t="s">
        <v>91</v>
      </c>
      <c r="U218" s="74" t="s">
        <v>668</v>
      </c>
    </row>
    <row r="219" ht="13.9" spans="1:21">
      <c r="A219" s="69">
        <f t="shared" si="9"/>
        <v>215</v>
      </c>
      <c r="B219" s="69" t="s">
        <v>556</v>
      </c>
      <c r="C219" s="98" t="s">
        <v>329</v>
      </c>
      <c r="D219" s="69" t="s">
        <v>481</v>
      </c>
      <c r="E219" s="69" t="s">
        <v>126</v>
      </c>
      <c r="F219" s="110">
        <v>45802</v>
      </c>
      <c r="G219" s="69" t="s">
        <v>87</v>
      </c>
      <c r="H219" s="70" t="s">
        <v>671</v>
      </c>
      <c r="I219" s="70" t="s">
        <v>672</v>
      </c>
      <c r="J219" s="100" t="s">
        <v>109</v>
      </c>
      <c r="K219" s="71">
        <v>1</v>
      </c>
      <c r="L219" s="72">
        <v>0</v>
      </c>
      <c r="M219" s="124">
        <v>1.81182687025343</v>
      </c>
      <c r="N219" s="70">
        <v>0</v>
      </c>
      <c r="O219" s="70">
        <v>0</v>
      </c>
      <c r="P219" s="70">
        <v>0</v>
      </c>
      <c r="R219" s="102" t="s">
        <v>91</v>
      </c>
      <c r="U219" s="74" t="s">
        <v>487</v>
      </c>
    </row>
    <row r="220" ht="13.9" spans="1:21">
      <c r="A220" s="69">
        <f t="shared" si="9"/>
        <v>216</v>
      </c>
      <c r="B220" s="69" t="s">
        <v>556</v>
      </c>
      <c r="C220" s="98" t="s">
        <v>329</v>
      </c>
      <c r="D220" s="69" t="s">
        <v>481</v>
      </c>
      <c r="E220" s="69" t="s">
        <v>126</v>
      </c>
      <c r="F220" s="110">
        <v>45802</v>
      </c>
      <c r="G220" s="69" t="s">
        <v>87</v>
      </c>
      <c r="H220" s="70" t="s">
        <v>673</v>
      </c>
      <c r="I220" s="70" t="s">
        <v>674</v>
      </c>
      <c r="J220" s="100" t="s">
        <v>109</v>
      </c>
      <c r="K220" s="71">
        <v>1</v>
      </c>
      <c r="L220" s="72">
        <v>0</v>
      </c>
      <c r="M220" s="124">
        <v>1.10262398810352</v>
      </c>
      <c r="N220" s="70">
        <v>0</v>
      </c>
      <c r="O220" s="70">
        <v>0</v>
      </c>
      <c r="P220" s="70">
        <v>0</v>
      </c>
      <c r="R220" s="102" t="s">
        <v>91</v>
      </c>
      <c r="U220" s="74" t="s">
        <v>487</v>
      </c>
    </row>
    <row r="221" ht="27.75" spans="1:21">
      <c r="A221" s="69">
        <f t="shared" si="9"/>
        <v>217</v>
      </c>
      <c r="B221" s="69" t="s">
        <v>556</v>
      </c>
      <c r="C221" s="98" t="s">
        <v>329</v>
      </c>
      <c r="D221" s="69" t="s">
        <v>481</v>
      </c>
      <c r="E221" s="69" t="s">
        <v>126</v>
      </c>
      <c r="F221" s="110">
        <v>45802</v>
      </c>
      <c r="G221" s="69" t="s">
        <v>87</v>
      </c>
      <c r="H221" s="70" t="s">
        <v>675</v>
      </c>
      <c r="I221" s="70" t="s">
        <v>676</v>
      </c>
      <c r="J221" s="100" t="s">
        <v>109</v>
      </c>
      <c r="K221" s="71">
        <v>1</v>
      </c>
      <c r="L221" s="72">
        <v>0</v>
      </c>
      <c r="M221" s="124">
        <v>10.0507719639483</v>
      </c>
      <c r="N221" s="70">
        <v>0</v>
      </c>
      <c r="O221" s="70">
        <v>0</v>
      </c>
      <c r="P221" s="70">
        <v>0</v>
      </c>
      <c r="R221" s="102" t="s">
        <v>91</v>
      </c>
      <c r="U221" s="74" t="s">
        <v>677</v>
      </c>
    </row>
    <row r="222" ht="33" customHeight="1" spans="1:21">
      <c r="A222" s="69">
        <f t="shared" si="9"/>
        <v>218</v>
      </c>
      <c r="B222" s="69" t="s">
        <v>556</v>
      </c>
      <c r="C222" s="98" t="s">
        <v>329</v>
      </c>
      <c r="D222" s="69" t="s">
        <v>481</v>
      </c>
      <c r="E222" s="69" t="s">
        <v>126</v>
      </c>
      <c r="F222" s="110">
        <v>45802</v>
      </c>
      <c r="G222" s="69" t="s">
        <v>87</v>
      </c>
      <c r="H222" s="70" t="s">
        <v>678</v>
      </c>
      <c r="I222" s="70" t="s">
        <v>679</v>
      </c>
      <c r="J222" s="100" t="s">
        <v>109</v>
      </c>
      <c r="K222" s="71">
        <v>1</v>
      </c>
      <c r="L222" s="72">
        <v>0</v>
      </c>
      <c r="M222" s="124">
        <v>11.6682051547906</v>
      </c>
      <c r="N222" s="70">
        <v>0</v>
      </c>
      <c r="O222" s="70">
        <v>0</v>
      </c>
      <c r="P222" s="70">
        <v>0</v>
      </c>
      <c r="R222" s="102" t="s">
        <v>91</v>
      </c>
      <c r="U222" s="74" t="s">
        <v>680</v>
      </c>
    </row>
    <row r="223" ht="13.9" spans="1:21">
      <c r="A223" s="69">
        <f t="shared" si="9"/>
        <v>219</v>
      </c>
      <c r="B223" s="69" t="s">
        <v>556</v>
      </c>
      <c r="C223" s="98" t="s">
        <v>329</v>
      </c>
      <c r="D223" s="69" t="s">
        <v>481</v>
      </c>
      <c r="E223" s="69" t="s">
        <v>126</v>
      </c>
      <c r="F223" s="110">
        <v>45802</v>
      </c>
      <c r="G223" s="69" t="s">
        <v>87</v>
      </c>
      <c r="H223" s="70" t="s">
        <v>678</v>
      </c>
      <c r="I223" s="70" t="s">
        <v>681</v>
      </c>
      <c r="J223" s="100" t="s">
        <v>109</v>
      </c>
      <c r="K223" s="71">
        <v>1</v>
      </c>
      <c r="L223" s="72">
        <v>0</v>
      </c>
      <c r="M223" s="124">
        <v>29.6506015370491</v>
      </c>
      <c r="N223" s="70">
        <v>0</v>
      </c>
      <c r="O223" s="70">
        <v>0</v>
      </c>
      <c r="P223" s="70">
        <v>0</v>
      </c>
      <c r="R223" s="102" t="s">
        <v>91</v>
      </c>
      <c r="U223" s="74" t="s">
        <v>682</v>
      </c>
    </row>
    <row r="224" ht="13.9" spans="1:21">
      <c r="A224" s="69">
        <f t="shared" si="9"/>
        <v>220</v>
      </c>
      <c r="B224" s="69" t="s">
        <v>556</v>
      </c>
      <c r="C224" s="98" t="s">
        <v>329</v>
      </c>
      <c r="D224" s="69" t="s">
        <v>481</v>
      </c>
      <c r="E224" s="69" t="s">
        <v>126</v>
      </c>
      <c r="F224" s="110">
        <v>45802</v>
      </c>
      <c r="G224" s="69" t="s">
        <v>87</v>
      </c>
      <c r="H224" s="70" t="s">
        <v>683</v>
      </c>
      <c r="I224" s="70" t="s">
        <v>684</v>
      </c>
      <c r="J224" s="100" t="s">
        <v>109</v>
      </c>
      <c r="K224" s="71">
        <v>1</v>
      </c>
      <c r="L224" s="72">
        <v>0</v>
      </c>
      <c r="M224" s="124">
        <v>21.7090244258292</v>
      </c>
      <c r="N224" s="70">
        <v>0</v>
      </c>
      <c r="O224" s="70">
        <v>0</v>
      </c>
      <c r="P224" s="70">
        <v>0</v>
      </c>
      <c r="R224" s="102" t="s">
        <v>91</v>
      </c>
      <c r="U224" s="74" t="s">
        <v>685</v>
      </c>
    </row>
    <row r="225" ht="13.9" spans="1:21">
      <c r="A225" s="69">
        <f t="shared" si="9"/>
        <v>221</v>
      </c>
      <c r="B225" s="69" t="s">
        <v>556</v>
      </c>
      <c r="C225" s="98" t="s">
        <v>329</v>
      </c>
      <c r="D225" s="69" t="s">
        <v>481</v>
      </c>
      <c r="E225" s="69" t="s">
        <v>126</v>
      </c>
      <c r="F225" s="110">
        <v>45802</v>
      </c>
      <c r="G225" s="69" t="s">
        <v>87</v>
      </c>
      <c r="H225" s="70" t="s">
        <v>678</v>
      </c>
      <c r="I225" s="70" t="s">
        <v>686</v>
      </c>
      <c r="J225" s="100" t="s">
        <v>109</v>
      </c>
      <c r="K225" s="71">
        <v>1</v>
      </c>
      <c r="L225" s="72">
        <v>0</v>
      </c>
      <c r="M225" s="124">
        <v>58.1009812969695</v>
      </c>
      <c r="N225" s="70">
        <v>0</v>
      </c>
      <c r="O225" s="70">
        <v>0</v>
      </c>
      <c r="P225" s="70">
        <v>0</v>
      </c>
      <c r="R225" s="102" t="s">
        <v>91</v>
      </c>
      <c r="U225" s="74" t="s">
        <v>687</v>
      </c>
    </row>
    <row r="226" ht="16.5" customHeight="1" spans="1:21">
      <c r="A226" s="69">
        <f t="shared" si="9"/>
        <v>222</v>
      </c>
      <c r="B226" s="69" t="s">
        <v>323</v>
      </c>
      <c r="C226" s="98" t="s">
        <v>329</v>
      </c>
      <c r="D226" s="69" t="s">
        <v>688</v>
      </c>
      <c r="E226" s="69" t="s">
        <v>126</v>
      </c>
      <c r="F226" s="110">
        <v>45789</v>
      </c>
      <c r="G226" s="69" t="s">
        <v>87</v>
      </c>
      <c r="H226" s="70" t="s">
        <v>689</v>
      </c>
      <c r="I226" s="225" t="s">
        <v>690</v>
      </c>
      <c r="J226" s="100" t="s">
        <v>109</v>
      </c>
      <c r="K226" s="71">
        <v>1</v>
      </c>
      <c r="L226" s="72">
        <v>0</v>
      </c>
      <c r="M226" s="72">
        <v>12.17</v>
      </c>
      <c r="N226" s="70">
        <v>0</v>
      </c>
      <c r="O226" s="70">
        <v>0</v>
      </c>
      <c r="P226" s="70">
        <v>0</v>
      </c>
      <c r="R226" s="102" t="s">
        <v>91</v>
      </c>
      <c r="U226" s="226" t="s">
        <v>691</v>
      </c>
    </row>
    <row r="227" ht="27.75" spans="1:21">
      <c r="A227" s="69">
        <f t="shared" si="9"/>
        <v>223</v>
      </c>
      <c r="B227" s="69" t="s">
        <v>692</v>
      </c>
      <c r="C227" s="69" t="s">
        <v>693</v>
      </c>
      <c r="D227" s="69" t="s">
        <v>237</v>
      </c>
      <c r="E227" s="69" t="s">
        <v>126</v>
      </c>
      <c r="F227" s="110">
        <v>45804</v>
      </c>
      <c r="G227" s="69" t="s">
        <v>239</v>
      </c>
      <c r="H227" s="70" t="s">
        <v>694</v>
      </c>
      <c r="I227" s="70" t="s">
        <v>694</v>
      </c>
      <c r="J227" s="71" t="s">
        <v>90</v>
      </c>
      <c r="K227" s="71">
        <v>1</v>
      </c>
      <c r="L227" s="71">
        <v>1</v>
      </c>
      <c r="M227" s="72">
        <v>19</v>
      </c>
      <c r="N227" s="70">
        <f t="shared" ref="N227:N250" si="10">M227*L227</f>
        <v>19</v>
      </c>
      <c r="O227" s="70">
        <v>0</v>
      </c>
      <c r="P227" s="70">
        <v>0</v>
      </c>
      <c r="Q227" s="102" t="s">
        <v>91</v>
      </c>
    </row>
    <row r="228" ht="16.5" customHeight="1" spans="1:21">
      <c r="A228" s="69">
        <f t="shared" si="9"/>
        <v>224</v>
      </c>
      <c r="B228" s="69" t="s">
        <v>692</v>
      </c>
      <c r="C228" s="69" t="s">
        <v>693</v>
      </c>
      <c r="D228" s="69" t="s">
        <v>237</v>
      </c>
      <c r="E228" s="69" t="s">
        <v>126</v>
      </c>
      <c r="F228" s="110">
        <v>45804</v>
      </c>
      <c r="G228" s="69" t="s">
        <v>239</v>
      </c>
      <c r="H228" s="70" t="s">
        <v>695</v>
      </c>
      <c r="I228" s="70" t="s">
        <v>696</v>
      </c>
      <c r="J228" s="71" t="s">
        <v>90</v>
      </c>
      <c r="K228" s="71">
        <v>1</v>
      </c>
      <c r="L228" s="71">
        <v>1</v>
      </c>
      <c r="M228" s="72">
        <v>19</v>
      </c>
      <c r="N228" s="70">
        <f t="shared" si="10"/>
        <v>19</v>
      </c>
      <c r="O228" s="70">
        <v>0</v>
      </c>
      <c r="P228" s="70">
        <v>0</v>
      </c>
      <c r="Q228" s="102" t="s">
        <v>91</v>
      </c>
    </row>
    <row r="229" ht="16.5" customHeight="1" spans="1:21">
      <c r="A229" s="69">
        <f t="shared" si="9"/>
        <v>225</v>
      </c>
      <c r="B229" s="69" t="s">
        <v>692</v>
      </c>
      <c r="C229" s="69" t="s">
        <v>693</v>
      </c>
      <c r="D229" s="69" t="s">
        <v>237</v>
      </c>
      <c r="E229" s="69" t="s">
        <v>126</v>
      </c>
      <c r="F229" s="110">
        <v>45804</v>
      </c>
      <c r="G229" s="69" t="s">
        <v>239</v>
      </c>
      <c r="H229" s="70" t="s">
        <v>697</v>
      </c>
      <c r="I229" s="70" t="s">
        <v>698</v>
      </c>
      <c r="J229" s="71" t="s">
        <v>90</v>
      </c>
      <c r="K229" s="71">
        <v>1</v>
      </c>
      <c r="L229" s="71">
        <v>1</v>
      </c>
      <c r="M229" s="72">
        <v>10</v>
      </c>
      <c r="N229" s="70">
        <f t="shared" si="10"/>
        <v>10</v>
      </c>
      <c r="O229" s="70">
        <v>0</v>
      </c>
      <c r="P229" s="70">
        <v>0</v>
      </c>
      <c r="Q229" s="102" t="s">
        <v>91</v>
      </c>
    </row>
    <row r="230" ht="13.9" spans="1:21">
      <c r="A230" s="69">
        <f t="shared" si="9"/>
        <v>226</v>
      </c>
      <c r="B230" s="69" t="s">
        <v>692</v>
      </c>
      <c r="C230" s="69" t="s">
        <v>693</v>
      </c>
      <c r="D230" s="69" t="s">
        <v>237</v>
      </c>
      <c r="E230" s="69" t="s">
        <v>126</v>
      </c>
      <c r="F230" s="110">
        <v>45804</v>
      </c>
      <c r="G230" s="69" t="s">
        <v>239</v>
      </c>
      <c r="H230" s="70" t="s">
        <v>699</v>
      </c>
      <c r="I230" s="70" t="s">
        <v>700</v>
      </c>
      <c r="J230" s="71" t="s">
        <v>90</v>
      </c>
      <c r="K230" s="71">
        <v>1</v>
      </c>
      <c r="L230" s="71">
        <v>1</v>
      </c>
      <c r="M230" s="72">
        <v>30</v>
      </c>
      <c r="N230" s="70">
        <f t="shared" si="10"/>
        <v>30</v>
      </c>
      <c r="O230" s="70">
        <v>0</v>
      </c>
      <c r="P230" s="70">
        <v>0</v>
      </c>
      <c r="Q230" s="102" t="s">
        <v>91</v>
      </c>
    </row>
    <row r="231" ht="27.75" spans="1:21">
      <c r="A231" s="69">
        <f t="shared" si="9"/>
        <v>227</v>
      </c>
      <c r="B231" s="69" t="s">
        <v>692</v>
      </c>
      <c r="C231" s="69" t="s">
        <v>693</v>
      </c>
      <c r="D231" s="69" t="s">
        <v>237</v>
      </c>
      <c r="E231" s="69" t="s">
        <v>126</v>
      </c>
      <c r="F231" s="110">
        <v>45804</v>
      </c>
      <c r="G231" s="69" t="s">
        <v>239</v>
      </c>
      <c r="H231" s="70" t="s">
        <v>701</v>
      </c>
      <c r="I231" s="70" t="s">
        <v>702</v>
      </c>
      <c r="J231" s="71" t="s">
        <v>90</v>
      </c>
      <c r="K231" s="71">
        <v>1</v>
      </c>
      <c r="L231" s="71">
        <v>1</v>
      </c>
      <c r="M231" s="72">
        <v>5</v>
      </c>
      <c r="N231" s="70">
        <f t="shared" si="10"/>
        <v>5</v>
      </c>
      <c r="O231" s="70">
        <v>0</v>
      </c>
      <c r="P231" s="70">
        <v>0</v>
      </c>
      <c r="Q231" s="102" t="s">
        <v>91</v>
      </c>
    </row>
    <row r="232" ht="13.9" spans="1:21">
      <c r="A232" s="69">
        <f t="shared" si="9"/>
        <v>228</v>
      </c>
      <c r="B232" s="69" t="s">
        <v>692</v>
      </c>
      <c r="C232" s="69" t="s">
        <v>693</v>
      </c>
      <c r="D232" s="69" t="s">
        <v>237</v>
      </c>
      <c r="E232" s="69" t="s">
        <v>126</v>
      </c>
      <c r="F232" s="110">
        <v>45804</v>
      </c>
      <c r="G232" s="69" t="s">
        <v>239</v>
      </c>
      <c r="H232" s="70" t="s">
        <v>703</v>
      </c>
      <c r="I232" s="70" t="s">
        <v>704</v>
      </c>
      <c r="J232" s="71" t="s">
        <v>90</v>
      </c>
      <c r="K232" s="71">
        <v>1</v>
      </c>
      <c r="L232" s="71">
        <v>1</v>
      </c>
      <c r="M232" s="72">
        <v>2</v>
      </c>
      <c r="N232" s="70">
        <f t="shared" si="10"/>
        <v>2</v>
      </c>
      <c r="O232" s="70">
        <v>0</v>
      </c>
      <c r="P232" s="70">
        <v>0</v>
      </c>
      <c r="Q232" s="102" t="s">
        <v>91</v>
      </c>
    </row>
    <row r="233" ht="27.75" spans="1:21">
      <c r="A233" s="69">
        <f t="shared" si="9"/>
        <v>229</v>
      </c>
      <c r="B233" s="69" t="s">
        <v>692</v>
      </c>
      <c r="C233" s="69" t="s">
        <v>693</v>
      </c>
      <c r="D233" s="69" t="s">
        <v>237</v>
      </c>
      <c r="E233" s="69" t="s">
        <v>126</v>
      </c>
      <c r="F233" s="110">
        <v>45804</v>
      </c>
      <c r="G233" s="69" t="s">
        <v>239</v>
      </c>
      <c r="H233" s="70" t="s">
        <v>705</v>
      </c>
      <c r="I233" s="70" t="s">
        <v>706</v>
      </c>
      <c r="J233" s="71" t="s">
        <v>90</v>
      </c>
      <c r="K233" s="71">
        <v>1</v>
      </c>
      <c r="L233" s="71">
        <v>1</v>
      </c>
      <c r="M233" s="72">
        <v>7</v>
      </c>
      <c r="N233" s="70">
        <f t="shared" si="10"/>
        <v>7</v>
      </c>
      <c r="O233" s="70">
        <v>0</v>
      </c>
      <c r="P233" s="70">
        <v>0</v>
      </c>
      <c r="Q233" s="102" t="s">
        <v>91</v>
      </c>
    </row>
    <row r="234" ht="13.9" spans="1:21">
      <c r="A234" s="69">
        <f t="shared" si="9"/>
        <v>230</v>
      </c>
      <c r="B234" s="69" t="s">
        <v>692</v>
      </c>
      <c r="C234" s="69" t="s">
        <v>693</v>
      </c>
      <c r="D234" s="69" t="s">
        <v>237</v>
      </c>
      <c r="E234" s="69" t="s">
        <v>126</v>
      </c>
      <c r="F234" s="110">
        <v>45804</v>
      </c>
      <c r="G234" s="69" t="s">
        <v>239</v>
      </c>
      <c r="H234" s="70" t="s">
        <v>707</v>
      </c>
      <c r="I234" s="70" t="s">
        <v>708</v>
      </c>
      <c r="J234" s="71" t="s">
        <v>90</v>
      </c>
      <c r="K234" s="71">
        <v>1</v>
      </c>
      <c r="L234" s="71">
        <v>1</v>
      </c>
      <c r="M234" s="72">
        <v>30</v>
      </c>
      <c r="N234" s="70">
        <f t="shared" si="10"/>
        <v>30</v>
      </c>
      <c r="O234" s="70">
        <v>0</v>
      </c>
      <c r="P234" s="70">
        <v>0</v>
      </c>
      <c r="Q234" s="102" t="s">
        <v>91</v>
      </c>
    </row>
    <row r="235" ht="27.75" spans="1:21">
      <c r="A235" s="69">
        <f t="shared" si="9"/>
        <v>231</v>
      </c>
      <c r="B235" s="69" t="s">
        <v>692</v>
      </c>
      <c r="C235" s="69" t="s">
        <v>693</v>
      </c>
      <c r="D235" s="69" t="s">
        <v>237</v>
      </c>
      <c r="E235" s="69" t="s">
        <v>126</v>
      </c>
      <c r="F235" s="110">
        <v>45804</v>
      </c>
      <c r="G235" s="69" t="s">
        <v>239</v>
      </c>
      <c r="H235" s="70" t="s">
        <v>709</v>
      </c>
      <c r="I235" s="70" t="s">
        <v>710</v>
      </c>
      <c r="J235" s="71" t="s">
        <v>90</v>
      </c>
      <c r="K235" s="71">
        <v>1</v>
      </c>
      <c r="L235" s="71">
        <v>1</v>
      </c>
      <c r="M235" s="72">
        <v>57</v>
      </c>
      <c r="N235" s="70">
        <f t="shared" si="10"/>
        <v>57</v>
      </c>
      <c r="O235" s="70">
        <v>0</v>
      </c>
      <c r="P235" s="70">
        <v>0</v>
      </c>
      <c r="Q235" s="102" t="s">
        <v>91</v>
      </c>
    </row>
    <row r="236" ht="27.75" spans="1:21">
      <c r="A236" s="69">
        <f t="shared" si="9"/>
        <v>232</v>
      </c>
      <c r="B236" s="69" t="s">
        <v>692</v>
      </c>
      <c r="C236" s="69" t="s">
        <v>693</v>
      </c>
      <c r="D236" s="69" t="s">
        <v>237</v>
      </c>
      <c r="E236" s="69" t="s">
        <v>126</v>
      </c>
      <c r="F236" s="110">
        <v>45804</v>
      </c>
      <c r="G236" s="69" t="s">
        <v>239</v>
      </c>
      <c r="H236" s="70" t="s">
        <v>711</v>
      </c>
      <c r="I236" s="70" t="s">
        <v>712</v>
      </c>
      <c r="J236" s="71" t="s">
        <v>90</v>
      </c>
      <c r="K236" s="71">
        <v>1</v>
      </c>
      <c r="L236" s="71">
        <v>1</v>
      </c>
      <c r="M236" s="72">
        <v>6</v>
      </c>
      <c r="N236" s="70">
        <f t="shared" si="10"/>
        <v>6</v>
      </c>
      <c r="O236" s="70">
        <v>0</v>
      </c>
      <c r="P236" s="70">
        <v>0</v>
      </c>
      <c r="Q236" s="102" t="s">
        <v>91</v>
      </c>
    </row>
    <row r="237" ht="27.75" spans="1:21">
      <c r="A237" s="69">
        <f t="shared" si="9"/>
        <v>233</v>
      </c>
      <c r="B237" s="69" t="s">
        <v>692</v>
      </c>
      <c r="C237" s="69" t="s">
        <v>693</v>
      </c>
      <c r="D237" s="69" t="s">
        <v>237</v>
      </c>
      <c r="E237" s="69" t="s">
        <v>126</v>
      </c>
      <c r="F237" s="110">
        <v>45804</v>
      </c>
      <c r="G237" s="69" t="s">
        <v>239</v>
      </c>
      <c r="H237" s="70" t="s">
        <v>713</v>
      </c>
      <c r="I237" s="70" t="s">
        <v>714</v>
      </c>
      <c r="J237" s="71" t="s">
        <v>90</v>
      </c>
      <c r="K237" s="71">
        <v>1</v>
      </c>
      <c r="L237" s="71">
        <v>1</v>
      </c>
      <c r="M237" s="72">
        <v>38</v>
      </c>
      <c r="N237" s="70">
        <f t="shared" si="10"/>
        <v>38</v>
      </c>
      <c r="O237" s="70">
        <v>0</v>
      </c>
      <c r="P237" s="70">
        <v>0</v>
      </c>
      <c r="Q237" s="102" t="s">
        <v>91</v>
      </c>
    </row>
    <row r="238" ht="13.9" spans="1:21">
      <c r="A238" s="69">
        <f t="shared" si="9"/>
        <v>234</v>
      </c>
      <c r="B238" s="69" t="s">
        <v>692</v>
      </c>
      <c r="C238" s="69" t="s">
        <v>693</v>
      </c>
      <c r="D238" s="69" t="s">
        <v>237</v>
      </c>
      <c r="E238" s="69" t="s">
        <v>126</v>
      </c>
      <c r="F238" s="110">
        <v>45804</v>
      </c>
      <c r="G238" s="69" t="s">
        <v>239</v>
      </c>
      <c r="H238" s="70" t="s">
        <v>715</v>
      </c>
      <c r="I238" s="70" t="s">
        <v>715</v>
      </c>
      <c r="J238" s="71" t="s">
        <v>90</v>
      </c>
      <c r="K238" s="71">
        <v>1</v>
      </c>
      <c r="L238" s="71">
        <v>1</v>
      </c>
      <c r="M238" s="72">
        <v>12</v>
      </c>
      <c r="N238" s="70">
        <f t="shared" si="10"/>
        <v>12</v>
      </c>
      <c r="O238" s="70">
        <v>0</v>
      </c>
      <c r="P238" s="70">
        <v>0</v>
      </c>
      <c r="Q238" s="102" t="s">
        <v>91</v>
      </c>
    </row>
    <row r="239" ht="27.75" spans="1:21">
      <c r="A239" s="69">
        <f t="shared" si="9"/>
        <v>235</v>
      </c>
      <c r="B239" s="69" t="s">
        <v>692</v>
      </c>
      <c r="C239" s="69" t="s">
        <v>693</v>
      </c>
      <c r="D239" s="69" t="s">
        <v>237</v>
      </c>
      <c r="E239" s="69" t="s">
        <v>126</v>
      </c>
      <c r="F239" s="110">
        <v>45804</v>
      </c>
      <c r="G239" s="69" t="s">
        <v>239</v>
      </c>
      <c r="H239" s="70" t="s">
        <v>716</v>
      </c>
      <c r="I239" s="70" t="s">
        <v>717</v>
      </c>
      <c r="J239" s="71" t="s">
        <v>109</v>
      </c>
      <c r="K239" s="71">
        <v>1</v>
      </c>
      <c r="L239" s="71">
        <v>1</v>
      </c>
      <c r="M239" s="72">
        <v>50</v>
      </c>
      <c r="N239" s="70">
        <f t="shared" si="10"/>
        <v>50</v>
      </c>
      <c r="O239" s="70">
        <v>0</v>
      </c>
      <c r="P239" s="70">
        <v>0</v>
      </c>
      <c r="Q239" s="102" t="s">
        <v>91</v>
      </c>
    </row>
    <row r="240" ht="27.75" spans="1:21">
      <c r="A240" s="69">
        <f t="shared" si="9"/>
        <v>236</v>
      </c>
      <c r="B240" s="69" t="s">
        <v>692</v>
      </c>
      <c r="C240" s="69" t="s">
        <v>693</v>
      </c>
      <c r="D240" s="69" t="s">
        <v>237</v>
      </c>
      <c r="E240" s="69" t="s">
        <v>126</v>
      </c>
      <c r="F240" s="110">
        <v>45804</v>
      </c>
      <c r="G240" s="69" t="s">
        <v>239</v>
      </c>
      <c r="H240" s="70" t="s">
        <v>718</v>
      </c>
      <c r="I240" s="70" t="s">
        <v>719</v>
      </c>
      <c r="J240" s="71" t="s">
        <v>109</v>
      </c>
      <c r="K240" s="71">
        <v>1</v>
      </c>
      <c r="L240" s="71">
        <v>1</v>
      </c>
      <c r="M240" s="72">
        <v>1</v>
      </c>
      <c r="N240" s="70">
        <f t="shared" si="10"/>
        <v>1</v>
      </c>
      <c r="O240" s="70">
        <v>0</v>
      </c>
      <c r="P240" s="70">
        <v>0</v>
      </c>
      <c r="Q240" s="102" t="s">
        <v>91</v>
      </c>
    </row>
    <row r="241" ht="13.9" spans="1:21">
      <c r="A241" s="69">
        <f t="shared" si="9"/>
        <v>237</v>
      </c>
      <c r="B241" s="69" t="s">
        <v>692</v>
      </c>
      <c r="C241" s="69" t="s">
        <v>693</v>
      </c>
      <c r="D241" s="69" t="s">
        <v>237</v>
      </c>
      <c r="E241" s="69" t="s">
        <v>126</v>
      </c>
      <c r="F241" s="110">
        <v>45804</v>
      </c>
      <c r="G241" s="69" t="s">
        <v>239</v>
      </c>
      <c r="H241" s="70" t="s">
        <v>720</v>
      </c>
      <c r="I241" s="70" t="s">
        <v>721</v>
      </c>
      <c r="J241" s="71" t="s">
        <v>90</v>
      </c>
      <c r="K241" s="71">
        <v>1</v>
      </c>
      <c r="L241" s="71">
        <v>1</v>
      </c>
      <c r="M241" s="72">
        <v>1</v>
      </c>
      <c r="N241" s="70">
        <f t="shared" si="10"/>
        <v>1</v>
      </c>
      <c r="O241" s="70">
        <v>0</v>
      </c>
      <c r="P241" s="70">
        <v>0</v>
      </c>
      <c r="Q241" s="102" t="s">
        <v>91</v>
      </c>
    </row>
    <row r="242" ht="13.9" spans="1:21">
      <c r="A242" s="69">
        <f t="shared" si="9"/>
        <v>238</v>
      </c>
      <c r="B242" s="69" t="s">
        <v>692</v>
      </c>
      <c r="C242" s="69" t="s">
        <v>693</v>
      </c>
      <c r="D242" s="69" t="s">
        <v>237</v>
      </c>
      <c r="E242" s="69" t="s">
        <v>126</v>
      </c>
      <c r="F242" s="110">
        <v>45804</v>
      </c>
      <c r="G242" s="69" t="s">
        <v>239</v>
      </c>
      <c r="H242" s="70" t="s">
        <v>722</v>
      </c>
      <c r="I242" s="70" t="s">
        <v>722</v>
      </c>
      <c r="J242" s="71" t="s">
        <v>90</v>
      </c>
      <c r="K242" s="71">
        <v>1</v>
      </c>
      <c r="L242" s="71">
        <v>1</v>
      </c>
      <c r="M242" s="72">
        <v>3</v>
      </c>
      <c r="N242" s="70">
        <f t="shared" si="10"/>
        <v>3</v>
      </c>
      <c r="O242" s="70">
        <v>0</v>
      </c>
      <c r="P242" s="70">
        <v>0</v>
      </c>
      <c r="Q242" s="102" t="s">
        <v>91</v>
      </c>
    </row>
    <row r="243" ht="13.9" spans="1:21">
      <c r="A243" s="69">
        <f t="shared" si="9"/>
        <v>239</v>
      </c>
      <c r="B243" s="69" t="s">
        <v>692</v>
      </c>
      <c r="C243" s="69" t="s">
        <v>693</v>
      </c>
      <c r="D243" s="69" t="s">
        <v>237</v>
      </c>
      <c r="E243" s="69" t="s">
        <v>126</v>
      </c>
      <c r="F243" s="110">
        <v>45804</v>
      </c>
      <c r="G243" s="69" t="s">
        <v>239</v>
      </c>
      <c r="H243" s="70" t="s">
        <v>723</v>
      </c>
      <c r="I243" s="70" t="s">
        <v>723</v>
      </c>
      <c r="J243" s="71" t="s">
        <v>90</v>
      </c>
      <c r="K243" s="71">
        <v>1</v>
      </c>
      <c r="L243" s="71">
        <v>1</v>
      </c>
      <c r="M243" s="72">
        <v>7</v>
      </c>
      <c r="N243" s="70">
        <f t="shared" si="10"/>
        <v>7</v>
      </c>
      <c r="O243" s="70">
        <v>0</v>
      </c>
      <c r="P243" s="70">
        <v>0</v>
      </c>
      <c r="Q243" s="102" t="s">
        <v>91</v>
      </c>
    </row>
    <row r="244" ht="13.9" spans="1:21">
      <c r="A244" s="69">
        <f t="shared" si="9"/>
        <v>240</v>
      </c>
      <c r="B244" s="69" t="s">
        <v>692</v>
      </c>
      <c r="C244" s="69" t="s">
        <v>693</v>
      </c>
      <c r="D244" s="69" t="s">
        <v>237</v>
      </c>
      <c r="E244" s="69" t="s">
        <v>126</v>
      </c>
      <c r="F244" s="110">
        <v>45804</v>
      </c>
      <c r="G244" s="69" t="s">
        <v>239</v>
      </c>
      <c r="H244" s="70" t="s">
        <v>724</v>
      </c>
      <c r="I244" s="70" t="s">
        <v>725</v>
      </c>
      <c r="J244" s="71" t="s">
        <v>109</v>
      </c>
      <c r="K244" s="71">
        <v>1</v>
      </c>
      <c r="L244" s="71">
        <v>1</v>
      </c>
      <c r="M244" s="72">
        <v>40</v>
      </c>
      <c r="N244" s="70">
        <f t="shared" si="10"/>
        <v>40</v>
      </c>
      <c r="O244" s="70">
        <v>0</v>
      </c>
      <c r="P244" s="70">
        <v>0</v>
      </c>
      <c r="Q244" s="102" t="s">
        <v>91</v>
      </c>
    </row>
    <row r="245" ht="13.9" spans="1:21">
      <c r="A245" s="69">
        <f t="shared" si="9"/>
        <v>241</v>
      </c>
      <c r="B245" s="69" t="s">
        <v>692</v>
      </c>
      <c r="C245" s="69" t="s">
        <v>693</v>
      </c>
      <c r="D245" s="69" t="s">
        <v>237</v>
      </c>
      <c r="E245" s="69" t="s">
        <v>126</v>
      </c>
      <c r="F245" s="110">
        <v>45804</v>
      </c>
      <c r="G245" s="69" t="s">
        <v>239</v>
      </c>
      <c r="H245" s="70" t="s">
        <v>726</v>
      </c>
      <c r="I245" s="70" t="s">
        <v>727</v>
      </c>
      <c r="J245" s="71" t="s">
        <v>90</v>
      </c>
      <c r="K245" s="71">
        <v>1</v>
      </c>
      <c r="L245" s="71">
        <v>1</v>
      </c>
      <c r="M245" s="72">
        <v>30</v>
      </c>
      <c r="N245" s="70">
        <f t="shared" si="10"/>
        <v>30</v>
      </c>
      <c r="O245" s="70">
        <v>0</v>
      </c>
      <c r="P245" s="70">
        <v>0</v>
      </c>
      <c r="Q245" s="102" t="s">
        <v>91</v>
      </c>
    </row>
    <row r="246" ht="27.75" spans="1:21">
      <c r="A246" s="69">
        <f t="shared" si="9"/>
        <v>242</v>
      </c>
      <c r="B246" s="69" t="s">
        <v>556</v>
      </c>
      <c r="C246" s="69" t="s">
        <v>693</v>
      </c>
      <c r="D246" s="69" t="s">
        <v>125</v>
      </c>
      <c r="E246" s="69" t="s">
        <v>126</v>
      </c>
      <c r="F246" s="110">
        <v>45791</v>
      </c>
      <c r="G246" s="69" t="s">
        <v>128</v>
      </c>
      <c r="H246" s="70" t="s">
        <v>728</v>
      </c>
      <c r="I246" s="70" t="s">
        <v>130</v>
      </c>
      <c r="J246" s="71" t="s">
        <v>109</v>
      </c>
      <c r="K246" s="71">
        <v>1</v>
      </c>
      <c r="L246" s="72">
        <v>0</v>
      </c>
      <c r="M246" s="72">
        <v>5</v>
      </c>
      <c r="N246" s="70">
        <f t="shared" si="10"/>
        <v>0</v>
      </c>
      <c r="O246" s="70">
        <v>0</v>
      </c>
      <c r="P246" s="70">
        <v>0</v>
      </c>
      <c r="Q246" s="102" t="s">
        <v>91</v>
      </c>
      <c r="U246" s="74" t="s">
        <v>729</v>
      </c>
    </row>
    <row r="247" ht="27.75" spans="1:21">
      <c r="A247" s="69">
        <f t="shared" si="9"/>
        <v>243</v>
      </c>
      <c r="B247" s="69" t="s">
        <v>556</v>
      </c>
      <c r="C247" s="69" t="s">
        <v>693</v>
      </c>
      <c r="D247" s="69" t="s">
        <v>125</v>
      </c>
      <c r="E247" s="69" t="s">
        <v>126</v>
      </c>
      <c r="F247" s="110">
        <v>45791</v>
      </c>
      <c r="G247" s="69" t="s">
        <v>128</v>
      </c>
      <c r="H247" s="70" t="s">
        <v>730</v>
      </c>
      <c r="I247" s="70" t="s">
        <v>731</v>
      </c>
      <c r="J247" s="71" t="s">
        <v>109</v>
      </c>
      <c r="K247" s="71">
        <v>1</v>
      </c>
      <c r="L247" s="72">
        <v>0</v>
      </c>
      <c r="M247" s="72">
        <v>2.4</v>
      </c>
      <c r="N247" s="70">
        <f t="shared" si="10"/>
        <v>0</v>
      </c>
      <c r="O247" s="70">
        <v>0</v>
      </c>
      <c r="P247" s="70">
        <v>0</v>
      </c>
      <c r="Q247" s="102" t="s">
        <v>91</v>
      </c>
      <c r="U247" s="74" t="s">
        <v>732</v>
      </c>
    </row>
    <row r="248" ht="13.9" spans="1:21">
      <c r="A248" s="69">
        <f t="shared" si="9"/>
        <v>244</v>
      </c>
      <c r="B248" s="69" t="s">
        <v>556</v>
      </c>
      <c r="C248" s="69" t="s">
        <v>693</v>
      </c>
      <c r="D248" s="69" t="s">
        <v>125</v>
      </c>
      <c r="E248" s="69" t="s">
        <v>126</v>
      </c>
      <c r="F248" s="110">
        <v>45791</v>
      </c>
      <c r="G248" s="69" t="s">
        <v>128</v>
      </c>
      <c r="H248" s="70" t="s">
        <v>137</v>
      </c>
      <c r="I248" s="70" t="s">
        <v>138</v>
      </c>
      <c r="J248" s="71" t="s">
        <v>109</v>
      </c>
      <c r="K248" s="71">
        <v>1</v>
      </c>
      <c r="L248" s="72">
        <v>0</v>
      </c>
      <c r="M248" s="72">
        <v>1.8</v>
      </c>
      <c r="N248" s="70">
        <f t="shared" si="10"/>
        <v>0</v>
      </c>
      <c r="O248" s="70">
        <v>0</v>
      </c>
      <c r="P248" s="70">
        <v>0</v>
      </c>
      <c r="Q248" s="102" t="s">
        <v>91</v>
      </c>
      <c r="U248" s="74" t="s">
        <v>733</v>
      </c>
    </row>
    <row r="249" ht="13.9" spans="1:21">
      <c r="A249" s="69">
        <f t="shared" si="9"/>
        <v>245</v>
      </c>
      <c r="B249" s="69" t="s">
        <v>556</v>
      </c>
      <c r="C249" s="69" t="s">
        <v>693</v>
      </c>
      <c r="D249" s="69" t="s">
        <v>125</v>
      </c>
      <c r="E249" s="69" t="s">
        <v>126</v>
      </c>
      <c r="F249" s="110">
        <v>45791</v>
      </c>
      <c r="G249" s="69" t="s">
        <v>128</v>
      </c>
      <c r="H249" s="70" t="s">
        <v>137</v>
      </c>
      <c r="I249" s="70" t="s">
        <v>140</v>
      </c>
      <c r="J249" s="71" t="s">
        <v>90</v>
      </c>
      <c r="K249" s="71">
        <v>1</v>
      </c>
      <c r="L249" s="71">
        <v>1</v>
      </c>
      <c r="M249" s="72">
        <v>1.8</v>
      </c>
      <c r="N249" s="70">
        <f t="shared" si="10"/>
        <v>1.8</v>
      </c>
      <c r="O249" s="70">
        <v>0</v>
      </c>
      <c r="P249" s="70">
        <v>0</v>
      </c>
      <c r="Q249" s="102" t="s">
        <v>91</v>
      </c>
    </row>
    <row r="250" ht="13.9" spans="1:21">
      <c r="A250" s="69">
        <f t="shared" si="9"/>
        <v>246</v>
      </c>
      <c r="B250" s="69" t="s">
        <v>556</v>
      </c>
      <c r="C250" s="69" t="s">
        <v>693</v>
      </c>
      <c r="D250" s="69" t="s">
        <v>125</v>
      </c>
      <c r="E250" s="69" t="s">
        <v>126</v>
      </c>
      <c r="F250" s="110">
        <v>45791</v>
      </c>
      <c r="G250" s="69" t="s">
        <v>128</v>
      </c>
      <c r="H250" s="70" t="s">
        <v>734</v>
      </c>
      <c r="I250" s="70" t="s">
        <v>735</v>
      </c>
      <c r="J250" s="71" t="s">
        <v>109</v>
      </c>
      <c r="K250" s="71">
        <v>1</v>
      </c>
      <c r="L250" s="72">
        <v>0</v>
      </c>
      <c r="M250" s="72">
        <v>45</v>
      </c>
      <c r="N250" s="70">
        <f t="shared" si="10"/>
        <v>0</v>
      </c>
      <c r="O250" s="70">
        <v>0</v>
      </c>
      <c r="P250" s="70">
        <v>0</v>
      </c>
      <c r="Q250" s="102" t="s">
        <v>91</v>
      </c>
      <c r="U250" s="74" t="s">
        <v>736</v>
      </c>
    </row>
    <row r="251" ht="13.9" spans="1:21">
      <c r="A251" s="69">
        <f t="shared" si="9"/>
        <v>247</v>
      </c>
      <c r="B251" s="97" t="s">
        <v>556</v>
      </c>
      <c r="C251" s="69" t="s">
        <v>737</v>
      </c>
      <c r="D251" s="69" t="s">
        <v>738</v>
      </c>
      <c r="E251" s="69" t="s">
        <v>151</v>
      </c>
      <c r="F251" s="107">
        <v>45824</v>
      </c>
      <c r="G251" s="69" t="s">
        <v>152</v>
      </c>
      <c r="H251" s="70" t="s">
        <v>739</v>
      </c>
      <c r="I251" s="70" t="s">
        <v>740</v>
      </c>
      <c r="J251" s="108" t="s">
        <v>90</v>
      </c>
      <c r="K251" s="71">
        <v>1</v>
      </c>
      <c r="L251" s="72">
        <v>1</v>
      </c>
      <c r="M251" s="72">
        <v>37</v>
      </c>
      <c r="N251" s="70">
        <v>37</v>
      </c>
      <c r="O251" s="70">
        <v>0</v>
      </c>
      <c r="P251" s="70">
        <v>0</v>
      </c>
      <c r="R251" s="72" t="s">
        <v>91</v>
      </c>
    </row>
    <row r="252" ht="13.9" spans="1:21">
      <c r="A252" s="69">
        <f t="shared" si="9"/>
        <v>248</v>
      </c>
      <c r="B252" s="97" t="s">
        <v>556</v>
      </c>
      <c r="C252" s="69" t="s">
        <v>741</v>
      </c>
      <c r="D252" s="69" t="s">
        <v>742</v>
      </c>
      <c r="E252" s="69" t="s">
        <v>151</v>
      </c>
      <c r="F252" s="107">
        <v>45824</v>
      </c>
      <c r="G252" s="69" t="s">
        <v>152</v>
      </c>
      <c r="H252" s="70" t="s">
        <v>743</v>
      </c>
      <c r="I252" s="70" t="s">
        <v>744</v>
      </c>
      <c r="J252" s="108" t="s">
        <v>90</v>
      </c>
      <c r="K252" s="71">
        <v>1</v>
      </c>
      <c r="L252" s="72">
        <v>1</v>
      </c>
      <c r="M252" s="72">
        <v>9</v>
      </c>
      <c r="N252" s="70">
        <v>9</v>
      </c>
      <c r="O252" s="70">
        <v>0</v>
      </c>
      <c r="P252" s="70">
        <v>0</v>
      </c>
      <c r="R252" s="72" t="s">
        <v>91</v>
      </c>
    </row>
    <row r="253" ht="13.9" spans="1:21">
      <c r="A253" s="69">
        <f t="shared" si="9"/>
        <v>249</v>
      </c>
      <c r="B253" s="97" t="s">
        <v>556</v>
      </c>
      <c r="C253" s="69" t="s">
        <v>741</v>
      </c>
      <c r="D253" s="69" t="s">
        <v>742</v>
      </c>
      <c r="E253" s="69" t="s">
        <v>151</v>
      </c>
      <c r="F253" s="107">
        <v>45824</v>
      </c>
      <c r="G253" s="69" t="s">
        <v>152</v>
      </c>
      <c r="H253" s="70" t="s">
        <v>745</v>
      </c>
      <c r="I253" s="70" t="s">
        <v>746</v>
      </c>
      <c r="J253" s="108" t="s">
        <v>90</v>
      </c>
      <c r="K253" s="71">
        <v>1</v>
      </c>
      <c r="L253" s="72">
        <v>1</v>
      </c>
      <c r="M253" s="72">
        <v>61</v>
      </c>
      <c r="N253" s="70">
        <v>61</v>
      </c>
      <c r="O253" s="70">
        <v>0</v>
      </c>
      <c r="P253" s="70">
        <v>0</v>
      </c>
      <c r="R253" s="72" t="s">
        <v>91</v>
      </c>
    </row>
    <row r="254" ht="13.9" spans="1:21">
      <c r="A254" s="69">
        <f t="shared" si="9"/>
        <v>250</v>
      </c>
      <c r="B254" s="97" t="s">
        <v>556</v>
      </c>
      <c r="C254" s="69" t="s">
        <v>747</v>
      </c>
      <c r="D254" s="69" t="s">
        <v>748</v>
      </c>
      <c r="E254" s="69" t="s">
        <v>151</v>
      </c>
      <c r="F254" s="107">
        <v>45824</v>
      </c>
      <c r="G254" s="69" t="s">
        <v>152</v>
      </c>
      <c r="H254" s="70" t="s">
        <v>749</v>
      </c>
      <c r="I254" s="70" t="s">
        <v>750</v>
      </c>
      <c r="J254" s="108" t="s">
        <v>109</v>
      </c>
      <c r="K254" s="71">
        <v>1</v>
      </c>
      <c r="L254" s="72">
        <v>0</v>
      </c>
      <c r="M254" s="72">
        <v>20</v>
      </c>
      <c r="N254" s="72">
        <v>0</v>
      </c>
      <c r="O254" s="70">
        <v>0</v>
      </c>
      <c r="P254" s="70">
        <v>0</v>
      </c>
      <c r="R254" s="72" t="s">
        <v>91</v>
      </c>
      <c r="U254" s="74" t="s">
        <v>751</v>
      </c>
    </row>
    <row r="255" ht="13.9" spans="1:21">
      <c r="A255" s="69">
        <f t="shared" si="9"/>
        <v>251</v>
      </c>
      <c r="B255" s="97" t="s">
        <v>556</v>
      </c>
      <c r="C255" s="69" t="s">
        <v>752</v>
      </c>
      <c r="D255" s="69" t="s">
        <v>197</v>
      </c>
      <c r="E255" s="69" t="s">
        <v>151</v>
      </c>
      <c r="F255" s="107">
        <v>45824</v>
      </c>
      <c r="G255" s="69" t="s">
        <v>152</v>
      </c>
      <c r="H255" s="70" t="s">
        <v>753</v>
      </c>
      <c r="I255" s="70" t="s">
        <v>754</v>
      </c>
      <c r="J255" s="108" t="s">
        <v>109</v>
      </c>
      <c r="K255" s="71">
        <v>1</v>
      </c>
      <c r="L255" s="72">
        <v>0</v>
      </c>
      <c r="M255" s="72">
        <v>42</v>
      </c>
      <c r="N255" s="72">
        <v>0</v>
      </c>
      <c r="O255" s="70">
        <v>0</v>
      </c>
      <c r="P255" s="70">
        <v>0</v>
      </c>
      <c r="R255" s="72" t="s">
        <v>91</v>
      </c>
      <c r="U255" s="74" t="s">
        <v>755</v>
      </c>
    </row>
    <row r="256" ht="27.75" spans="1:21">
      <c r="A256" s="69">
        <f t="shared" si="9"/>
        <v>252</v>
      </c>
      <c r="B256" s="97" t="s">
        <v>556</v>
      </c>
      <c r="C256" s="69" t="s">
        <v>752</v>
      </c>
      <c r="D256" s="69" t="s">
        <v>197</v>
      </c>
      <c r="E256" s="69" t="s">
        <v>151</v>
      </c>
      <c r="F256" s="107">
        <v>45824</v>
      </c>
      <c r="G256" s="69" t="s">
        <v>152</v>
      </c>
      <c r="H256" s="70" t="s">
        <v>756</v>
      </c>
      <c r="I256" s="70" t="s">
        <v>757</v>
      </c>
      <c r="J256" s="108" t="s">
        <v>109</v>
      </c>
      <c r="K256" s="71">
        <v>1</v>
      </c>
      <c r="L256" s="72">
        <v>0</v>
      </c>
      <c r="M256" s="72">
        <v>7</v>
      </c>
      <c r="N256" s="72">
        <v>0</v>
      </c>
      <c r="O256" s="70">
        <v>0</v>
      </c>
      <c r="P256" s="70">
        <v>0</v>
      </c>
      <c r="R256" s="72" t="s">
        <v>91</v>
      </c>
      <c r="U256" s="74" t="s">
        <v>755</v>
      </c>
    </row>
    <row r="257" ht="13.9" spans="1:21">
      <c r="A257" s="69">
        <f t="shared" si="9"/>
        <v>253</v>
      </c>
      <c r="B257" s="97" t="s">
        <v>556</v>
      </c>
      <c r="C257" s="69" t="s">
        <v>758</v>
      </c>
      <c r="D257" s="69" t="s">
        <v>759</v>
      </c>
      <c r="E257" s="69" t="s">
        <v>151</v>
      </c>
      <c r="F257" s="107">
        <v>45824</v>
      </c>
      <c r="G257" s="69" t="s">
        <v>152</v>
      </c>
      <c r="H257" s="70" t="s">
        <v>760</v>
      </c>
      <c r="I257" s="70" t="s">
        <v>761</v>
      </c>
      <c r="J257" s="108" t="s">
        <v>90</v>
      </c>
      <c r="K257" s="71">
        <v>1</v>
      </c>
      <c r="L257" s="72">
        <v>1</v>
      </c>
      <c r="M257" s="72">
        <v>8</v>
      </c>
      <c r="N257" s="72">
        <v>8</v>
      </c>
      <c r="O257" s="70">
        <v>0</v>
      </c>
      <c r="P257" s="70">
        <v>0</v>
      </c>
      <c r="R257" s="72" t="s">
        <v>91</v>
      </c>
    </row>
    <row r="258" ht="27.75" spans="1:21">
      <c r="A258" s="69">
        <f t="shared" si="9"/>
        <v>254</v>
      </c>
      <c r="B258" s="69" t="s">
        <v>394</v>
      </c>
      <c r="C258" s="69" t="s">
        <v>762</v>
      </c>
      <c r="D258" s="69" t="s">
        <v>197</v>
      </c>
      <c r="E258" s="69" t="s">
        <v>151</v>
      </c>
      <c r="F258" s="107">
        <v>45828</v>
      </c>
      <c r="G258" s="69" t="s">
        <v>152</v>
      </c>
      <c r="H258" s="70" t="s">
        <v>763</v>
      </c>
      <c r="I258" s="70" t="s">
        <v>764</v>
      </c>
      <c r="J258" s="108" t="s">
        <v>90</v>
      </c>
      <c r="K258" s="71">
        <v>1</v>
      </c>
      <c r="L258" s="72">
        <v>1</v>
      </c>
      <c r="M258" s="72">
        <v>100</v>
      </c>
      <c r="N258" s="72">
        <v>100</v>
      </c>
      <c r="O258" s="70">
        <v>0</v>
      </c>
      <c r="P258" s="70">
        <v>0</v>
      </c>
      <c r="R258" s="72" t="s">
        <v>91</v>
      </c>
    </row>
    <row r="259" ht="13.9" spans="1:21">
      <c r="A259" s="69">
        <f t="shared" si="9"/>
        <v>255</v>
      </c>
      <c r="B259" s="69" t="s">
        <v>394</v>
      </c>
      <c r="C259" s="69" t="s">
        <v>765</v>
      </c>
      <c r="D259" s="69" t="s">
        <v>766</v>
      </c>
      <c r="E259" s="69" t="s">
        <v>151</v>
      </c>
      <c r="F259" s="107">
        <v>45828</v>
      </c>
      <c r="G259" s="69" t="s">
        <v>152</v>
      </c>
      <c r="H259" s="70" t="s">
        <v>767</v>
      </c>
      <c r="I259" s="70" t="s">
        <v>768</v>
      </c>
      <c r="J259" s="108" t="s">
        <v>109</v>
      </c>
      <c r="K259" s="71">
        <v>1</v>
      </c>
      <c r="L259" s="72">
        <v>0</v>
      </c>
      <c r="M259" s="72">
        <v>6</v>
      </c>
      <c r="N259" s="70">
        <v>0</v>
      </c>
      <c r="O259" s="70">
        <v>0</v>
      </c>
      <c r="P259" s="70">
        <v>0</v>
      </c>
      <c r="R259" s="72" t="s">
        <v>91</v>
      </c>
      <c r="U259" s="74" t="s">
        <v>751</v>
      </c>
    </row>
    <row r="260" ht="13.9" spans="1:21">
      <c r="A260" s="69">
        <f t="shared" si="9"/>
        <v>256</v>
      </c>
      <c r="B260" s="69" t="s">
        <v>394</v>
      </c>
      <c r="C260" s="69" t="s">
        <v>769</v>
      </c>
      <c r="D260" s="69" t="s">
        <v>310</v>
      </c>
      <c r="E260" s="69" t="s">
        <v>151</v>
      </c>
      <c r="F260" s="107">
        <v>45828</v>
      </c>
      <c r="G260" s="69" t="s">
        <v>152</v>
      </c>
      <c r="H260" s="70" t="s">
        <v>770</v>
      </c>
      <c r="I260" s="70" t="s">
        <v>771</v>
      </c>
      <c r="J260" s="108" t="s">
        <v>109</v>
      </c>
      <c r="K260" s="71">
        <v>1</v>
      </c>
      <c r="L260" s="72">
        <v>0</v>
      </c>
      <c r="M260" s="72">
        <v>27</v>
      </c>
      <c r="N260" s="70">
        <v>0</v>
      </c>
      <c r="O260" s="70">
        <v>0</v>
      </c>
      <c r="P260" s="70">
        <v>0</v>
      </c>
      <c r="R260" s="72" t="s">
        <v>91</v>
      </c>
      <c r="U260" s="74" t="s">
        <v>751</v>
      </c>
    </row>
    <row r="261" ht="27.75" spans="1:21">
      <c r="A261" s="69">
        <f t="shared" ref="A261:A324" si="11">ROW()-4</f>
        <v>257</v>
      </c>
      <c r="B261" s="69" t="s">
        <v>394</v>
      </c>
      <c r="C261" s="69" t="s">
        <v>772</v>
      </c>
      <c r="D261" s="69" t="s">
        <v>773</v>
      </c>
      <c r="E261" s="69" t="s">
        <v>151</v>
      </c>
      <c r="F261" s="107">
        <v>45828</v>
      </c>
      <c r="G261" s="69" t="s">
        <v>152</v>
      </c>
      <c r="H261" s="70" t="s">
        <v>774</v>
      </c>
      <c r="I261" s="70" t="s">
        <v>775</v>
      </c>
      <c r="J261" s="108" t="s">
        <v>90</v>
      </c>
      <c r="K261" s="71">
        <v>1</v>
      </c>
      <c r="L261" s="72">
        <v>1</v>
      </c>
      <c r="M261" s="72">
        <v>10</v>
      </c>
      <c r="N261" s="72">
        <v>10</v>
      </c>
      <c r="O261" s="70">
        <v>0</v>
      </c>
      <c r="P261" s="70">
        <v>0</v>
      </c>
      <c r="R261" s="72" t="s">
        <v>91</v>
      </c>
    </row>
    <row r="262" ht="27.75" spans="1:21">
      <c r="A262" s="69">
        <f t="shared" si="11"/>
        <v>258</v>
      </c>
      <c r="B262" s="69" t="s">
        <v>394</v>
      </c>
      <c r="C262" s="69" t="s">
        <v>329</v>
      </c>
      <c r="D262" s="125" t="s">
        <v>330</v>
      </c>
      <c r="E262" s="69" t="s">
        <v>126</v>
      </c>
      <c r="F262" s="107">
        <v>45828</v>
      </c>
      <c r="G262" s="69" t="s">
        <v>128</v>
      </c>
      <c r="H262" s="70" t="s">
        <v>728</v>
      </c>
      <c r="I262" s="70" t="s">
        <v>130</v>
      </c>
      <c r="J262" s="108" t="s">
        <v>109</v>
      </c>
      <c r="K262" s="71">
        <v>1</v>
      </c>
      <c r="L262" s="72">
        <v>0</v>
      </c>
      <c r="M262" s="72">
        <v>5</v>
      </c>
      <c r="N262" s="70">
        <v>0</v>
      </c>
      <c r="O262" s="70">
        <v>0</v>
      </c>
      <c r="P262" s="70">
        <v>0</v>
      </c>
      <c r="R262" s="72" t="s">
        <v>91</v>
      </c>
      <c r="U262" s="74" t="s">
        <v>776</v>
      </c>
    </row>
    <row r="263" ht="13.9" spans="1:21">
      <c r="A263" s="69">
        <f t="shared" si="11"/>
        <v>259</v>
      </c>
      <c r="B263" s="69" t="s">
        <v>394</v>
      </c>
      <c r="C263" s="69" t="s">
        <v>329</v>
      </c>
      <c r="D263" s="125" t="s">
        <v>330</v>
      </c>
      <c r="E263" s="69" t="s">
        <v>126</v>
      </c>
      <c r="F263" s="107">
        <v>45828</v>
      </c>
      <c r="G263" s="69" t="s">
        <v>128</v>
      </c>
      <c r="H263" s="70" t="s">
        <v>777</v>
      </c>
      <c r="I263" s="70" t="s">
        <v>778</v>
      </c>
      <c r="J263" s="108" t="s">
        <v>109</v>
      </c>
      <c r="K263" s="71">
        <v>1</v>
      </c>
      <c r="L263" s="72">
        <v>0</v>
      </c>
      <c r="M263" s="72">
        <v>24</v>
      </c>
      <c r="N263" s="70">
        <v>0</v>
      </c>
      <c r="O263" s="70">
        <v>0</v>
      </c>
      <c r="P263" s="70">
        <v>0</v>
      </c>
      <c r="R263" s="72" t="s">
        <v>91</v>
      </c>
      <c r="U263" s="74" t="s">
        <v>776</v>
      </c>
    </row>
    <row r="264" ht="13.9" spans="1:21">
      <c r="A264" s="69">
        <f t="shared" si="11"/>
        <v>260</v>
      </c>
      <c r="B264" s="69" t="s">
        <v>556</v>
      </c>
      <c r="C264" s="69" t="s">
        <v>329</v>
      </c>
      <c r="D264" s="125" t="s">
        <v>504</v>
      </c>
      <c r="E264" s="69" t="s">
        <v>126</v>
      </c>
      <c r="F264" s="107">
        <v>45834</v>
      </c>
      <c r="G264" s="69" t="s">
        <v>128</v>
      </c>
      <c r="H264" s="70" t="s">
        <v>730</v>
      </c>
      <c r="I264" s="70" t="s">
        <v>731</v>
      </c>
    </row>
    <row r="265" ht="13.9" spans="1:21">
      <c r="A265" s="69">
        <f t="shared" si="11"/>
        <v>261</v>
      </c>
      <c r="B265" s="69" t="s">
        <v>556</v>
      </c>
      <c r="C265" s="69" t="s">
        <v>329</v>
      </c>
      <c r="D265" s="125" t="s">
        <v>504</v>
      </c>
      <c r="E265" s="69" t="s">
        <v>126</v>
      </c>
      <c r="F265" s="107">
        <v>45834</v>
      </c>
      <c r="G265" s="69" t="s">
        <v>128</v>
      </c>
      <c r="H265" s="70" t="s">
        <v>779</v>
      </c>
      <c r="I265" s="70" t="s">
        <v>780</v>
      </c>
      <c r="J265" s="108" t="s">
        <v>109</v>
      </c>
      <c r="K265" s="71">
        <v>1</v>
      </c>
      <c r="L265" s="72">
        <v>0</v>
      </c>
      <c r="M265" s="72">
        <v>13</v>
      </c>
      <c r="N265" s="70">
        <v>0</v>
      </c>
      <c r="O265" s="70">
        <v>0</v>
      </c>
      <c r="P265" s="70">
        <v>0</v>
      </c>
      <c r="R265" s="72" t="s">
        <v>91</v>
      </c>
      <c r="U265" s="74" t="s">
        <v>781</v>
      </c>
    </row>
    <row r="266" ht="13.9" spans="1:21">
      <c r="A266" s="69">
        <f t="shared" si="11"/>
        <v>262</v>
      </c>
      <c r="B266" s="69" t="s">
        <v>556</v>
      </c>
      <c r="C266" s="69" t="s">
        <v>329</v>
      </c>
      <c r="D266" s="125" t="s">
        <v>504</v>
      </c>
      <c r="E266" s="69" t="s">
        <v>126</v>
      </c>
      <c r="F266" s="107">
        <v>45834</v>
      </c>
      <c r="G266" s="69" t="s">
        <v>128</v>
      </c>
      <c r="H266" s="70" t="s">
        <v>782</v>
      </c>
      <c r="I266" s="70" t="s">
        <v>783</v>
      </c>
      <c r="J266" s="108" t="s">
        <v>109</v>
      </c>
      <c r="K266" s="71">
        <v>1</v>
      </c>
      <c r="L266" s="72">
        <v>0</v>
      </c>
      <c r="M266" s="72">
        <v>18</v>
      </c>
      <c r="N266" s="70">
        <v>0</v>
      </c>
      <c r="O266" s="70">
        <v>0</v>
      </c>
      <c r="P266" s="70">
        <v>0</v>
      </c>
      <c r="R266" s="72" t="s">
        <v>91</v>
      </c>
      <c r="U266" s="74" t="s">
        <v>784</v>
      </c>
    </row>
    <row r="267" ht="15.65" customHeight="1" spans="1:21">
      <c r="A267" s="69">
        <f t="shared" si="11"/>
        <v>263</v>
      </c>
      <c r="B267" s="69" t="s">
        <v>556</v>
      </c>
      <c r="C267" s="69" t="s">
        <v>329</v>
      </c>
      <c r="D267" s="125" t="s">
        <v>504</v>
      </c>
      <c r="E267" s="69" t="s">
        <v>126</v>
      </c>
      <c r="F267" s="107">
        <v>45834</v>
      </c>
      <c r="G267" s="69" t="s">
        <v>128</v>
      </c>
      <c r="H267" s="70" t="s">
        <v>514</v>
      </c>
      <c r="I267" s="70" t="s">
        <v>515</v>
      </c>
      <c r="J267" s="108" t="s">
        <v>109</v>
      </c>
      <c r="K267" s="71">
        <v>1</v>
      </c>
      <c r="L267" s="72">
        <v>0</v>
      </c>
      <c r="M267" s="72">
        <v>10</v>
      </c>
      <c r="N267" s="70">
        <v>0</v>
      </c>
      <c r="O267" s="70">
        <v>0</v>
      </c>
      <c r="P267" s="70">
        <v>0</v>
      </c>
      <c r="R267" s="72" t="s">
        <v>91</v>
      </c>
      <c r="U267" s="74" t="s">
        <v>784</v>
      </c>
    </row>
    <row r="268" ht="13.9" spans="1:21">
      <c r="A268" s="69">
        <f t="shared" si="11"/>
        <v>264</v>
      </c>
      <c r="B268" s="69" t="s">
        <v>556</v>
      </c>
      <c r="C268" s="69" t="s">
        <v>329</v>
      </c>
      <c r="D268" s="125" t="s">
        <v>504</v>
      </c>
      <c r="E268" s="69" t="s">
        <v>126</v>
      </c>
      <c r="F268" s="107">
        <v>45834</v>
      </c>
      <c r="G268" s="69" t="s">
        <v>128</v>
      </c>
      <c r="H268" s="70" t="s">
        <v>785</v>
      </c>
      <c r="I268" s="70" t="s">
        <v>786</v>
      </c>
      <c r="J268" s="108" t="s">
        <v>109</v>
      </c>
      <c r="K268" s="71">
        <v>1</v>
      </c>
      <c r="L268" s="72">
        <v>0</v>
      </c>
      <c r="M268" s="72">
        <v>0.4</v>
      </c>
      <c r="N268" s="70">
        <v>0</v>
      </c>
      <c r="O268" s="70">
        <v>0</v>
      </c>
      <c r="P268" s="70">
        <v>0</v>
      </c>
      <c r="R268" s="72" t="s">
        <v>91</v>
      </c>
      <c r="U268" s="74" t="s">
        <v>784</v>
      </c>
    </row>
    <row r="269" ht="13.9" spans="1:21">
      <c r="A269" s="69">
        <f t="shared" si="11"/>
        <v>265</v>
      </c>
      <c r="B269" s="69" t="s">
        <v>556</v>
      </c>
      <c r="C269" s="69" t="s">
        <v>329</v>
      </c>
      <c r="D269" s="125" t="s">
        <v>504</v>
      </c>
      <c r="E269" s="69" t="s">
        <v>126</v>
      </c>
      <c r="F269" s="107">
        <v>45834</v>
      </c>
      <c r="G269" s="69" t="s">
        <v>128</v>
      </c>
      <c r="H269" s="70" t="s">
        <v>787</v>
      </c>
      <c r="I269" s="70" t="s">
        <v>788</v>
      </c>
      <c r="J269" s="108" t="s">
        <v>109</v>
      </c>
      <c r="K269" s="71">
        <v>1</v>
      </c>
      <c r="L269" s="72">
        <v>0</v>
      </c>
      <c r="M269" s="72">
        <v>85</v>
      </c>
      <c r="N269" s="70">
        <v>0</v>
      </c>
      <c r="O269" s="70">
        <v>0</v>
      </c>
      <c r="P269" s="70">
        <v>0</v>
      </c>
      <c r="R269" s="72" t="s">
        <v>91</v>
      </c>
      <c r="U269" s="74" t="s">
        <v>781</v>
      </c>
    </row>
    <row r="270" ht="13.9" spans="1:21">
      <c r="A270" s="69">
        <f t="shared" si="11"/>
        <v>266</v>
      </c>
      <c r="B270" s="69" t="s">
        <v>556</v>
      </c>
      <c r="C270" s="69" t="s">
        <v>329</v>
      </c>
      <c r="D270" s="125" t="s">
        <v>504</v>
      </c>
      <c r="E270" s="69" t="s">
        <v>126</v>
      </c>
      <c r="F270" s="107">
        <v>45834</v>
      </c>
      <c r="G270" s="69" t="s">
        <v>128</v>
      </c>
      <c r="H270" s="70" t="s">
        <v>789</v>
      </c>
      <c r="I270" s="70" t="s">
        <v>790</v>
      </c>
      <c r="J270" s="108" t="s">
        <v>109</v>
      </c>
      <c r="K270" s="71">
        <v>1</v>
      </c>
      <c r="L270" s="72">
        <v>0</v>
      </c>
      <c r="M270" s="72">
        <v>250</v>
      </c>
      <c r="N270" s="70">
        <v>0</v>
      </c>
      <c r="O270" s="70">
        <v>0</v>
      </c>
      <c r="P270" s="70">
        <v>0</v>
      </c>
      <c r="R270" s="72" t="s">
        <v>91</v>
      </c>
      <c r="U270" s="74" t="s">
        <v>781</v>
      </c>
    </row>
    <row r="271" ht="13.9" spans="1:21">
      <c r="A271" s="69">
        <f t="shared" si="11"/>
        <v>267</v>
      </c>
      <c r="B271" s="69" t="s">
        <v>556</v>
      </c>
      <c r="C271" s="69" t="s">
        <v>329</v>
      </c>
      <c r="D271" s="125" t="s">
        <v>504</v>
      </c>
      <c r="E271" s="69" t="s">
        <v>126</v>
      </c>
      <c r="F271" s="107">
        <v>45834</v>
      </c>
      <c r="G271" s="69" t="s">
        <v>128</v>
      </c>
      <c r="H271" s="70" t="s">
        <v>527</v>
      </c>
      <c r="I271" s="70" t="s">
        <v>528</v>
      </c>
      <c r="J271" s="108" t="s">
        <v>109</v>
      </c>
      <c r="K271" s="71">
        <v>1</v>
      </c>
      <c r="L271" s="72">
        <v>0</v>
      </c>
      <c r="M271" s="72">
        <v>7</v>
      </c>
      <c r="N271" s="70">
        <v>0</v>
      </c>
      <c r="O271" s="70">
        <v>0</v>
      </c>
      <c r="P271" s="70">
        <v>0</v>
      </c>
      <c r="R271" s="72" t="s">
        <v>91</v>
      </c>
      <c r="U271" s="74" t="s">
        <v>791</v>
      </c>
    </row>
    <row r="272" ht="13.9" spans="1:21">
      <c r="A272" s="69">
        <f t="shared" si="11"/>
        <v>268</v>
      </c>
      <c r="B272" s="69" t="s">
        <v>692</v>
      </c>
      <c r="C272" s="69" t="s">
        <v>792</v>
      </c>
      <c r="D272" s="69" t="s">
        <v>593</v>
      </c>
      <c r="E272" s="69" t="s">
        <v>126</v>
      </c>
      <c r="F272" s="69" t="s">
        <v>793</v>
      </c>
      <c r="G272" s="69" t="s">
        <v>272</v>
      </c>
      <c r="H272" s="70" t="s">
        <v>794</v>
      </c>
      <c r="I272" s="70" t="s">
        <v>795</v>
      </c>
      <c r="J272" s="71" t="s">
        <v>90</v>
      </c>
      <c r="K272" s="71">
        <v>1</v>
      </c>
      <c r="L272" s="72">
        <v>1</v>
      </c>
      <c r="M272" s="72">
        <v>48.96</v>
      </c>
      <c r="N272" s="70">
        <v>48.96</v>
      </c>
      <c r="O272" s="70">
        <v>0</v>
      </c>
      <c r="P272" s="70">
        <v>0</v>
      </c>
      <c r="R272" s="72" t="s">
        <v>91</v>
      </c>
    </row>
    <row r="273" ht="13.9" spans="1:21">
      <c r="A273" s="69">
        <f t="shared" si="11"/>
        <v>269</v>
      </c>
      <c r="B273" s="69" t="s">
        <v>692</v>
      </c>
      <c r="C273" s="69" t="s">
        <v>792</v>
      </c>
      <c r="D273" s="69" t="s">
        <v>593</v>
      </c>
      <c r="E273" s="69" t="s">
        <v>126</v>
      </c>
      <c r="F273" s="69" t="s">
        <v>793</v>
      </c>
      <c r="G273" s="69" t="s">
        <v>272</v>
      </c>
      <c r="H273" s="70" t="s">
        <v>796</v>
      </c>
      <c r="I273" s="70" t="s">
        <v>379</v>
      </c>
      <c r="J273" s="71" t="s">
        <v>90</v>
      </c>
      <c r="K273" s="71">
        <v>1</v>
      </c>
      <c r="L273" s="72">
        <v>1</v>
      </c>
      <c r="M273" s="72">
        <v>43.91</v>
      </c>
      <c r="N273" s="70">
        <v>43.91</v>
      </c>
      <c r="O273" s="70">
        <v>0</v>
      </c>
      <c r="P273" s="70">
        <v>0</v>
      </c>
      <c r="R273" s="72" t="s">
        <v>91</v>
      </c>
    </row>
    <row r="274" ht="13.9" spans="1:21">
      <c r="A274" s="69">
        <f t="shared" si="11"/>
        <v>270</v>
      </c>
      <c r="B274" s="69" t="s">
        <v>692</v>
      </c>
      <c r="C274" s="69" t="s">
        <v>792</v>
      </c>
      <c r="D274" s="69" t="s">
        <v>593</v>
      </c>
      <c r="E274" s="69" t="s">
        <v>126</v>
      </c>
      <c r="F274" s="69" t="s">
        <v>793</v>
      </c>
      <c r="G274" s="69" t="s">
        <v>272</v>
      </c>
      <c r="H274" s="70" t="s">
        <v>797</v>
      </c>
      <c r="I274" s="70" t="s">
        <v>798</v>
      </c>
      <c r="J274" s="71" t="s">
        <v>90</v>
      </c>
      <c r="K274" s="71">
        <v>1</v>
      </c>
      <c r="L274" s="72">
        <v>1</v>
      </c>
      <c r="M274" s="72">
        <v>14.96</v>
      </c>
      <c r="N274" s="70">
        <v>14.96</v>
      </c>
      <c r="O274" s="70">
        <v>0</v>
      </c>
      <c r="P274" s="70">
        <v>0</v>
      </c>
      <c r="R274" s="72" t="s">
        <v>91</v>
      </c>
    </row>
    <row r="275" ht="13.9" spans="1:21">
      <c r="A275" s="69">
        <f t="shared" si="11"/>
        <v>271</v>
      </c>
      <c r="B275" s="69" t="s">
        <v>692</v>
      </c>
      <c r="C275" s="69" t="s">
        <v>799</v>
      </c>
      <c r="D275" s="69" t="s">
        <v>396</v>
      </c>
      <c r="E275" s="69" t="s">
        <v>126</v>
      </c>
      <c r="F275" s="69" t="s">
        <v>793</v>
      </c>
      <c r="G275" s="69" t="s">
        <v>272</v>
      </c>
      <c r="H275" s="70" t="s">
        <v>800</v>
      </c>
      <c r="I275" s="70" t="s">
        <v>801</v>
      </c>
      <c r="J275" s="71" t="s">
        <v>109</v>
      </c>
      <c r="K275" s="71">
        <v>1</v>
      </c>
      <c r="L275" s="72">
        <v>1</v>
      </c>
      <c r="M275" s="72">
        <v>38.86</v>
      </c>
      <c r="N275" s="70">
        <v>0</v>
      </c>
      <c r="O275" s="70">
        <v>0</v>
      </c>
      <c r="P275" s="70">
        <v>0</v>
      </c>
      <c r="R275" s="72" t="s">
        <v>91</v>
      </c>
      <c r="U275" s="74" t="s">
        <v>802</v>
      </c>
    </row>
    <row r="276" ht="13.9" spans="1:21">
      <c r="A276" s="69">
        <f t="shared" si="11"/>
        <v>272</v>
      </c>
      <c r="B276" s="69" t="s">
        <v>692</v>
      </c>
      <c r="C276" s="69" t="s">
        <v>799</v>
      </c>
      <c r="D276" s="69" t="s">
        <v>396</v>
      </c>
      <c r="E276" s="69" t="s">
        <v>126</v>
      </c>
      <c r="F276" s="69" t="s">
        <v>793</v>
      </c>
      <c r="G276" s="69" t="s">
        <v>272</v>
      </c>
      <c r="H276" s="70" t="s">
        <v>800</v>
      </c>
      <c r="I276" s="70" t="s">
        <v>803</v>
      </c>
      <c r="J276" s="71" t="s">
        <v>109</v>
      </c>
      <c r="K276" s="71">
        <v>1</v>
      </c>
      <c r="L276" s="72">
        <v>1</v>
      </c>
      <c r="M276" s="72">
        <v>25.74</v>
      </c>
      <c r="N276" s="70">
        <v>0</v>
      </c>
      <c r="O276" s="70">
        <v>0</v>
      </c>
      <c r="P276" s="70">
        <v>0</v>
      </c>
      <c r="R276" s="72" t="s">
        <v>91</v>
      </c>
      <c r="U276" s="74" t="s">
        <v>804</v>
      </c>
    </row>
    <row r="277" ht="13.9" spans="1:21">
      <c r="A277" s="69">
        <f t="shared" si="11"/>
        <v>273</v>
      </c>
      <c r="B277" s="69" t="s">
        <v>556</v>
      </c>
      <c r="C277" s="69" t="s">
        <v>329</v>
      </c>
      <c r="D277" s="69" t="s">
        <v>805</v>
      </c>
      <c r="E277" s="69" t="s">
        <v>126</v>
      </c>
      <c r="F277" s="69" t="s">
        <v>806</v>
      </c>
      <c r="G277" s="69" t="s">
        <v>102</v>
      </c>
      <c r="H277" s="70" t="s">
        <v>807</v>
      </c>
      <c r="I277" s="70" t="s">
        <v>808</v>
      </c>
      <c r="J277" s="71" t="s">
        <v>109</v>
      </c>
      <c r="K277" s="71">
        <v>1</v>
      </c>
      <c r="L277" s="72">
        <v>1</v>
      </c>
      <c r="M277" s="72">
        <v>14</v>
      </c>
      <c r="N277" s="70">
        <v>0</v>
      </c>
      <c r="O277" s="70">
        <v>0</v>
      </c>
      <c r="P277" s="70">
        <v>0</v>
      </c>
      <c r="R277" s="72" t="s">
        <v>91</v>
      </c>
    </row>
    <row r="278" ht="13.9" spans="1:21">
      <c r="A278" s="69">
        <f t="shared" si="11"/>
        <v>274</v>
      </c>
      <c r="B278" s="69" t="s">
        <v>556</v>
      </c>
      <c r="C278" s="69" t="s">
        <v>329</v>
      </c>
      <c r="D278" s="69" t="s">
        <v>805</v>
      </c>
      <c r="E278" s="69" t="s">
        <v>126</v>
      </c>
      <c r="F278" s="69" t="s">
        <v>806</v>
      </c>
      <c r="G278" s="69" t="s">
        <v>102</v>
      </c>
      <c r="H278" s="70" t="s">
        <v>809</v>
      </c>
      <c r="I278" s="70" t="s">
        <v>121</v>
      </c>
      <c r="J278" s="71" t="s">
        <v>90</v>
      </c>
      <c r="K278" s="71">
        <v>1</v>
      </c>
      <c r="L278" s="72">
        <v>1</v>
      </c>
      <c r="M278" s="72">
        <v>48</v>
      </c>
      <c r="N278" s="70">
        <v>48</v>
      </c>
      <c r="O278" s="70">
        <v>0</v>
      </c>
      <c r="P278" s="70">
        <v>0</v>
      </c>
      <c r="R278" s="72" t="s">
        <v>91</v>
      </c>
    </row>
    <row r="279" ht="13.9" spans="1:21">
      <c r="A279" s="69">
        <f t="shared" si="11"/>
        <v>275</v>
      </c>
      <c r="B279" s="69" t="s">
        <v>556</v>
      </c>
      <c r="C279" s="69" t="s">
        <v>329</v>
      </c>
      <c r="D279" s="69" t="s">
        <v>805</v>
      </c>
      <c r="E279" s="69" t="s">
        <v>126</v>
      </c>
      <c r="F279" s="69" t="s">
        <v>806</v>
      </c>
      <c r="G279" s="69" t="s">
        <v>102</v>
      </c>
      <c r="H279" s="70" t="s">
        <v>810</v>
      </c>
      <c r="I279" s="70" t="s">
        <v>811</v>
      </c>
      <c r="J279" s="71" t="s">
        <v>90</v>
      </c>
      <c r="K279" s="71">
        <v>1</v>
      </c>
      <c r="L279" s="72">
        <v>1</v>
      </c>
      <c r="M279" s="72">
        <v>140</v>
      </c>
      <c r="N279" s="70">
        <v>140</v>
      </c>
      <c r="O279" s="70">
        <v>0</v>
      </c>
      <c r="P279" s="70">
        <v>0</v>
      </c>
      <c r="R279" s="72" t="s">
        <v>91</v>
      </c>
    </row>
    <row r="280" ht="13.9" spans="1:21">
      <c r="A280" s="69">
        <f t="shared" si="11"/>
        <v>276</v>
      </c>
      <c r="B280" s="69" t="s">
        <v>556</v>
      </c>
      <c r="C280" s="69" t="s">
        <v>329</v>
      </c>
      <c r="D280" s="69" t="s">
        <v>805</v>
      </c>
      <c r="E280" s="69" t="s">
        <v>126</v>
      </c>
      <c r="F280" s="69" t="s">
        <v>806</v>
      </c>
      <c r="G280" s="69" t="s">
        <v>102</v>
      </c>
      <c r="H280" s="70" t="s">
        <v>812</v>
      </c>
      <c r="I280" s="70" t="s">
        <v>813</v>
      </c>
      <c r="J280" s="71" t="s">
        <v>109</v>
      </c>
      <c r="K280" s="71">
        <v>1</v>
      </c>
      <c r="L280" s="72">
        <v>1</v>
      </c>
      <c r="M280" s="72">
        <v>5.4</v>
      </c>
      <c r="N280" s="70">
        <v>0</v>
      </c>
      <c r="O280" s="70">
        <v>0</v>
      </c>
      <c r="P280" s="70">
        <v>0</v>
      </c>
      <c r="R280" s="72" t="s">
        <v>91</v>
      </c>
    </row>
    <row r="281" ht="13.9" spans="1:21">
      <c r="A281" s="69">
        <f t="shared" si="11"/>
        <v>277</v>
      </c>
      <c r="B281" s="69" t="s">
        <v>580</v>
      </c>
      <c r="C281" s="69" t="s">
        <v>329</v>
      </c>
      <c r="D281" s="69" t="s">
        <v>805</v>
      </c>
      <c r="E281" s="69" t="s">
        <v>126</v>
      </c>
      <c r="F281" s="69" t="s">
        <v>806</v>
      </c>
      <c r="G281" s="69" t="s">
        <v>102</v>
      </c>
      <c r="H281" s="70" t="s">
        <v>814</v>
      </c>
      <c r="I281" s="70" t="s">
        <v>815</v>
      </c>
      <c r="J281" s="71" t="s">
        <v>109</v>
      </c>
      <c r="K281" s="71">
        <v>1</v>
      </c>
      <c r="L281" s="72">
        <v>1</v>
      </c>
      <c r="M281" s="72">
        <v>21.72</v>
      </c>
      <c r="N281" s="70">
        <v>0</v>
      </c>
      <c r="O281" s="70">
        <v>0</v>
      </c>
      <c r="P281" s="70">
        <v>0</v>
      </c>
      <c r="R281" s="72" t="s">
        <v>91</v>
      </c>
    </row>
    <row r="282" ht="13.9" spans="1:21">
      <c r="A282" s="69">
        <f t="shared" si="11"/>
        <v>278</v>
      </c>
      <c r="B282" s="69" t="s">
        <v>580</v>
      </c>
      <c r="C282" s="69" t="s">
        <v>329</v>
      </c>
      <c r="D282" s="69" t="s">
        <v>805</v>
      </c>
      <c r="E282" s="69" t="s">
        <v>126</v>
      </c>
      <c r="F282" s="69" t="s">
        <v>806</v>
      </c>
      <c r="G282" s="69" t="s">
        <v>102</v>
      </c>
      <c r="H282" s="70" t="s">
        <v>809</v>
      </c>
      <c r="I282" s="70" t="s">
        <v>121</v>
      </c>
      <c r="J282" s="71" t="s">
        <v>109</v>
      </c>
      <c r="K282" s="71">
        <v>1</v>
      </c>
      <c r="L282" s="72">
        <v>1</v>
      </c>
      <c r="M282" s="72">
        <v>48</v>
      </c>
      <c r="N282" s="70">
        <v>0</v>
      </c>
      <c r="O282" s="70">
        <v>0</v>
      </c>
      <c r="P282" s="70">
        <v>0</v>
      </c>
      <c r="R282" s="72" t="s">
        <v>91</v>
      </c>
    </row>
    <row r="283" ht="13.9" spans="1:21">
      <c r="A283" s="69">
        <f t="shared" si="11"/>
        <v>279</v>
      </c>
      <c r="B283" s="69" t="s">
        <v>580</v>
      </c>
      <c r="C283" s="69" t="s">
        <v>329</v>
      </c>
      <c r="D283" s="69" t="s">
        <v>805</v>
      </c>
      <c r="E283" s="69" t="s">
        <v>126</v>
      </c>
      <c r="F283" s="69" t="s">
        <v>806</v>
      </c>
      <c r="G283" s="69" t="s">
        <v>102</v>
      </c>
      <c r="H283" s="70" t="s">
        <v>816</v>
      </c>
      <c r="I283" s="70" t="s">
        <v>817</v>
      </c>
      <c r="J283" s="71" t="s">
        <v>90</v>
      </c>
      <c r="K283" s="71">
        <v>1</v>
      </c>
      <c r="L283" s="72">
        <v>1</v>
      </c>
      <c r="M283" s="72">
        <v>400</v>
      </c>
      <c r="N283" s="72">
        <v>400</v>
      </c>
      <c r="O283" s="70">
        <v>0</v>
      </c>
      <c r="P283" s="70">
        <v>0</v>
      </c>
      <c r="R283" s="72" t="s">
        <v>91</v>
      </c>
    </row>
    <row r="284" ht="13.9" spans="1:21">
      <c r="A284" s="69">
        <f t="shared" si="11"/>
        <v>280</v>
      </c>
      <c r="B284" s="69" t="s">
        <v>580</v>
      </c>
      <c r="C284" s="69" t="s">
        <v>329</v>
      </c>
      <c r="D284" s="69" t="s">
        <v>805</v>
      </c>
      <c r="E284" s="69" t="s">
        <v>126</v>
      </c>
      <c r="F284" s="69" t="s">
        <v>806</v>
      </c>
      <c r="G284" s="69" t="s">
        <v>102</v>
      </c>
      <c r="H284" s="70" t="s">
        <v>812</v>
      </c>
      <c r="I284" s="70" t="s">
        <v>813</v>
      </c>
      <c r="J284" s="71" t="s">
        <v>109</v>
      </c>
      <c r="K284" s="71">
        <v>1</v>
      </c>
      <c r="L284" s="72">
        <v>1</v>
      </c>
      <c r="M284" s="72">
        <v>5.4</v>
      </c>
      <c r="N284" s="70">
        <v>0</v>
      </c>
      <c r="O284" s="70">
        <v>0</v>
      </c>
      <c r="P284" s="70">
        <v>0</v>
      </c>
      <c r="R284" s="72" t="s">
        <v>91</v>
      </c>
    </row>
    <row r="285" ht="13.9" spans="1:21">
      <c r="A285" s="69">
        <f t="shared" si="11"/>
        <v>281</v>
      </c>
      <c r="B285" s="69" t="s">
        <v>692</v>
      </c>
      <c r="C285" s="69" t="s">
        <v>329</v>
      </c>
      <c r="D285" s="69" t="s">
        <v>805</v>
      </c>
      <c r="E285" s="69" t="s">
        <v>126</v>
      </c>
      <c r="F285" s="69" t="s">
        <v>806</v>
      </c>
      <c r="G285" s="69" t="s">
        <v>102</v>
      </c>
      <c r="H285" s="70" t="s">
        <v>818</v>
      </c>
      <c r="I285" s="70" t="s">
        <v>819</v>
      </c>
      <c r="J285" s="71" t="s">
        <v>90</v>
      </c>
      <c r="K285" s="71">
        <v>1</v>
      </c>
      <c r="L285" s="72">
        <v>1</v>
      </c>
      <c r="M285" s="72">
        <v>14</v>
      </c>
      <c r="N285" s="72">
        <v>14</v>
      </c>
      <c r="O285" s="70">
        <v>0</v>
      </c>
      <c r="P285" s="70">
        <v>0</v>
      </c>
      <c r="R285" s="72" t="s">
        <v>91</v>
      </c>
    </row>
    <row r="286" ht="13.9" spans="1:21">
      <c r="A286" s="69">
        <f t="shared" si="11"/>
        <v>282</v>
      </c>
      <c r="B286" s="69" t="s">
        <v>692</v>
      </c>
      <c r="C286" s="69" t="s">
        <v>329</v>
      </c>
      <c r="D286" s="69" t="s">
        <v>805</v>
      </c>
      <c r="E286" s="69" t="s">
        <v>126</v>
      </c>
      <c r="F286" s="69" t="s">
        <v>806</v>
      </c>
      <c r="G286" s="69" t="s">
        <v>102</v>
      </c>
      <c r="H286" s="70" t="s">
        <v>820</v>
      </c>
      <c r="I286" s="70" t="s">
        <v>821</v>
      </c>
      <c r="J286" s="71" t="s">
        <v>90</v>
      </c>
      <c r="K286" s="71">
        <v>1</v>
      </c>
      <c r="L286" s="72">
        <v>1</v>
      </c>
      <c r="M286" s="72">
        <v>32</v>
      </c>
      <c r="N286" s="72">
        <v>32</v>
      </c>
      <c r="O286" s="70">
        <v>0</v>
      </c>
      <c r="P286" s="70">
        <v>0</v>
      </c>
      <c r="R286" s="72" t="s">
        <v>91</v>
      </c>
    </row>
    <row r="287" ht="13.9" spans="1:21">
      <c r="A287" s="69">
        <f t="shared" si="11"/>
        <v>283</v>
      </c>
      <c r="B287" s="69" t="s">
        <v>692</v>
      </c>
      <c r="C287" s="69" t="s">
        <v>329</v>
      </c>
      <c r="D287" s="69" t="s">
        <v>805</v>
      </c>
      <c r="E287" s="69" t="s">
        <v>126</v>
      </c>
      <c r="F287" s="69" t="s">
        <v>806</v>
      </c>
      <c r="G287" s="69" t="s">
        <v>102</v>
      </c>
      <c r="H287" s="70" t="s">
        <v>822</v>
      </c>
      <c r="I287" s="70" t="s">
        <v>823</v>
      </c>
      <c r="J287" s="71" t="s">
        <v>90</v>
      </c>
      <c r="K287" s="71">
        <v>1</v>
      </c>
      <c r="L287" s="72">
        <v>1</v>
      </c>
      <c r="M287" s="72">
        <v>120</v>
      </c>
      <c r="N287" s="72">
        <v>120</v>
      </c>
      <c r="O287" s="70">
        <v>0</v>
      </c>
      <c r="P287" s="70">
        <v>0</v>
      </c>
      <c r="R287" s="72" t="s">
        <v>91</v>
      </c>
    </row>
    <row r="288" ht="13.9" spans="1:21">
      <c r="A288" s="69">
        <f t="shared" si="11"/>
        <v>284</v>
      </c>
      <c r="B288" s="69" t="s">
        <v>692</v>
      </c>
      <c r="C288" s="69" t="s">
        <v>329</v>
      </c>
      <c r="D288" s="69" t="s">
        <v>805</v>
      </c>
      <c r="E288" s="69" t="s">
        <v>126</v>
      </c>
      <c r="F288" s="69" t="s">
        <v>806</v>
      </c>
      <c r="G288" s="69" t="s">
        <v>102</v>
      </c>
      <c r="H288" s="70" t="s">
        <v>824</v>
      </c>
      <c r="I288" s="70" t="s">
        <v>825</v>
      </c>
      <c r="J288" s="71" t="s">
        <v>90</v>
      </c>
      <c r="K288" s="71">
        <v>1</v>
      </c>
      <c r="L288" s="72">
        <v>1</v>
      </c>
      <c r="M288" s="72">
        <v>76</v>
      </c>
      <c r="N288" s="72">
        <v>76</v>
      </c>
      <c r="O288" s="70">
        <v>0</v>
      </c>
      <c r="P288" s="70">
        <v>0</v>
      </c>
      <c r="R288" s="72" t="s">
        <v>91</v>
      </c>
    </row>
    <row r="289" ht="13.9" spans="1:21">
      <c r="A289" s="69">
        <f t="shared" si="11"/>
        <v>285</v>
      </c>
      <c r="B289" s="69" t="s">
        <v>692</v>
      </c>
      <c r="C289" s="69" t="s">
        <v>329</v>
      </c>
      <c r="D289" s="69" t="s">
        <v>805</v>
      </c>
      <c r="E289" s="69" t="s">
        <v>126</v>
      </c>
      <c r="F289" s="69" t="s">
        <v>806</v>
      </c>
      <c r="G289" s="69" t="s">
        <v>102</v>
      </c>
      <c r="H289" s="70" t="s">
        <v>826</v>
      </c>
      <c r="I289" s="70" t="s">
        <v>827</v>
      </c>
      <c r="J289" s="71" t="s">
        <v>109</v>
      </c>
      <c r="K289" s="71">
        <v>1</v>
      </c>
      <c r="L289" s="72">
        <v>1</v>
      </c>
      <c r="M289" s="72">
        <v>8</v>
      </c>
      <c r="N289" s="70">
        <v>0</v>
      </c>
      <c r="O289" s="70">
        <v>0</v>
      </c>
      <c r="P289" s="70">
        <v>0</v>
      </c>
      <c r="R289" s="72" t="s">
        <v>91</v>
      </c>
    </row>
    <row r="290" ht="13.9" spans="1:21">
      <c r="A290" s="69">
        <f t="shared" si="11"/>
        <v>286</v>
      </c>
      <c r="B290" s="69" t="s">
        <v>828</v>
      </c>
      <c r="C290" s="98" t="s">
        <v>829</v>
      </c>
      <c r="D290" s="69" t="s">
        <v>396</v>
      </c>
      <c r="E290" s="99" t="s">
        <v>126</v>
      </c>
      <c r="F290" s="73" t="s">
        <v>830</v>
      </c>
      <c r="G290" s="69" t="s">
        <v>272</v>
      </c>
      <c r="H290" s="225" t="s">
        <v>831</v>
      </c>
      <c r="I290" s="225" t="s">
        <v>832</v>
      </c>
      <c r="J290" s="100" t="s">
        <v>109</v>
      </c>
      <c r="K290" s="71">
        <v>1</v>
      </c>
      <c r="L290" s="72">
        <v>1</v>
      </c>
      <c r="M290" s="72">
        <v>7.75</v>
      </c>
      <c r="N290" s="70">
        <v>0</v>
      </c>
      <c r="O290" s="70">
        <v>0</v>
      </c>
      <c r="P290" s="70">
        <v>0</v>
      </c>
      <c r="R290" s="102" t="s">
        <v>91</v>
      </c>
    </row>
    <row r="291" ht="13.9" spans="1:21">
      <c r="A291" s="69">
        <f t="shared" si="11"/>
        <v>287</v>
      </c>
      <c r="B291" s="69" t="s">
        <v>828</v>
      </c>
      <c r="C291" s="98" t="s">
        <v>833</v>
      </c>
      <c r="D291" s="69" t="s">
        <v>593</v>
      </c>
      <c r="E291" s="99" t="s">
        <v>126</v>
      </c>
      <c r="F291" s="73" t="s">
        <v>830</v>
      </c>
      <c r="G291" s="69" t="s">
        <v>272</v>
      </c>
      <c r="H291" s="225" t="s">
        <v>834</v>
      </c>
      <c r="I291" s="225" t="s">
        <v>835</v>
      </c>
      <c r="J291" s="100" t="s">
        <v>109</v>
      </c>
      <c r="K291" s="71">
        <v>1</v>
      </c>
      <c r="L291" s="72">
        <v>1</v>
      </c>
      <c r="M291" s="72">
        <v>27.92</v>
      </c>
      <c r="N291" s="70">
        <v>0</v>
      </c>
      <c r="O291" s="70">
        <v>0</v>
      </c>
      <c r="P291" s="70">
        <v>0</v>
      </c>
      <c r="R291" s="102" t="s">
        <v>91</v>
      </c>
    </row>
    <row r="292" ht="27.75" spans="1:21">
      <c r="A292" s="69">
        <f t="shared" si="11"/>
        <v>288</v>
      </c>
      <c r="B292" s="69" t="s">
        <v>580</v>
      </c>
      <c r="C292" s="69" t="s">
        <v>329</v>
      </c>
      <c r="D292" s="69" t="s">
        <v>330</v>
      </c>
      <c r="E292" s="99" t="s">
        <v>126</v>
      </c>
      <c r="F292" s="73" t="s">
        <v>836</v>
      </c>
      <c r="G292" s="69" t="s">
        <v>128</v>
      </c>
      <c r="H292" s="70" t="s">
        <v>728</v>
      </c>
      <c r="I292" s="70" t="s">
        <v>130</v>
      </c>
      <c r="J292" s="100" t="s">
        <v>109</v>
      </c>
      <c r="K292" s="71">
        <v>1</v>
      </c>
      <c r="L292" s="72">
        <v>0</v>
      </c>
      <c r="M292" s="72">
        <v>5</v>
      </c>
      <c r="N292" s="70">
        <v>0</v>
      </c>
      <c r="O292" s="70">
        <v>0</v>
      </c>
      <c r="P292" s="70">
        <v>0</v>
      </c>
      <c r="R292" s="102" t="s">
        <v>91</v>
      </c>
      <c r="U292" s="74" t="s">
        <v>837</v>
      </c>
    </row>
    <row r="293" ht="13.9" spans="1:21">
      <c r="A293" s="69">
        <f t="shared" si="11"/>
        <v>289</v>
      </c>
      <c r="B293" s="69" t="s">
        <v>580</v>
      </c>
      <c r="C293" s="69" t="s">
        <v>329</v>
      </c>
      <c r="D293" s="69" t="s">
        <v>330</v>
      </c>
      <c r="E293" s="99" t="s">
        <v>126</v>
      </c>
      <c r="F293" s="73" t="s">
        <v>836</v>
      </c>
      <c r="G293" s="69" t="s">
        <v>128</v>
      </c>
      <c r="H293" s="70" t="s">
        <v>734</v>
      </c>
      <c r="I293" s="70" t="s">
        <v>838</v>
      </c>
      <c r="J293" s="100" t="s">
        <v>109</v>
      </c>
      <c r="K293" s="71">
        <v>1</v>
      </c>
      <c r="L293" s="72">
        <v>0</v>
      </c>
      <c r="M293" s="72">
        <v>85</v>
      </c>
      <c r="N293" s="70">
        <v>0</v>
      </c>
      <c r="O293" s="70">
        <v>0</v>
      </c>
      <c r="P293" s="70">
        <v>0</v>
      </c>
      <c r="R293" s="102" t="s">
        <v>91</v>
      </c>
      <c r="U293" s="74" t="s">
        <v>736</v>
      </c>
    </row>
    <row r="294" ht="13.9" spans="1:21">
      <c r="A294" s="69">
        <f t="shared" si="11"/>
        <v>290</v>
      </c>
      <c r="B294" s="69" t="s">
        <v>580</v>
      </c>
      <c r="C294" s="69" t="s">
        <v>329</v>
      </c>
      <c r="D294" s="69" t="s">
        <v>330</v>
      </c>
      <c r="E294" s="99" t="s">
        <v>126</v>
      </c>
      <c r="F294" s="73" t="s">
        <v>836</v>
      </c>
      <c r="G294" s="69" t="s">
        <v>128</v>
      </c>
      <c r="H294" s="70" t="s">
        <v>137</v>
      </c>
      <c r="I294" s="70" t="s">
        <v>138</v>
      </c>
      <c r="J294" s="100" t="s">
        <v>109</v>
      </c>
      <c r="K294" s="71">
        <v>1</v>
      </c>
      <c r="L294" s="72">
        <v>0</v>
      </c>
      <c r="M294" s="72">
        <v>1.8</v>
      </c>
      <c r="N294" s="70">
        <v>0</v>
      </c>
      <c r="O294" s="70">
        <v>0</v>
      </c>
      <c r="P294" s="70">
        <v>0</v>
      </c>
      <c r="R294" s="102" t="s">
        <v>91</v>
      </c>
      <c r="U294" s="74" t="s">
        <v>733</v>
      </c>
    </row>
    <row r="295" ht="13.9" spans="1:21">
      <c r="A295" s="69">
        <f t="shared" si="11"/>
        <v>291</v>
      </c>
      <c r="B295" s="69" t="s">
        <v>580</v>
      </c>
      <c r="C295" s="69" t="s">
        <v>329</v>
      </c>
      <c r="D295" s="69" t="s">
        <v>330</v>
      </c>
      <c r="E295" s="99" t="s">
        <v>126</v>
      </c>
      <c r="F295" s="73" t="s">
        <v>836</v>
      </c>
      <c r="G295" s="69" t="s">
        <v>128</v>
      </c>
      <c r="H295" s="70" t="s">
        <v>137</v>
      </c>
      <c r="I295" s="70" t="s">
        <v>140</v>
      </c>
      <c r="J295" s="71" t="s">
        <v>90</v>
      </c>
      <c r="K295" s="71">
        <v>1</v>
      </c>
      <c r="L295" s="72">
        <v>1</v>
      </c>
      <c r="M295" s="72">
        <v>1.8</v>
      </c>
      <c r="N295" s="72">
        <v>1.8</v>
      </c>
      <c r="O295" s="70">
        <v>0</v>
      </c>
      <c r="P295" s="70">
        <v>0</v>
      </c>
      <c r="R295" s="102" t="s">
        <v>91</v>
      </c>
    </row>
    <row r="296" ht="27.75" spans="1:21">
      <c r="A296" s="69">
        <f t="shared" si="11"/>
        <v>292</v>
      </c>
      <c r="B296" s="69" t="s">
        <v>580</v>
      </c>
      <c r="C296" s="69" t="s">
        <v>693</v>
      </c>
      <c r="D296" s="69" t="s">
        <v>237</v>
      </c>
      <c r="E296" s="69" t="s">
        <v>126</v>
      </c>
      <c r="F296" s="69" t="s">
        <v>839</v>
      </c>
      <c r="G296" s="69" t="s">
        <v>239</v>
      </c>
      <c r="H296" s="70" t="s">
        <v>840</v>
      </c>
      <c r="I296" s="70" t="s">
        <v>841</v>
      </c>
      <c r="J296" s="100" t="s">
        <v>109</v>
      </c>
      <c r="K296" s="71">
        <v>1</v>
      </c>
      <c r="L296" s="72">
        <v>0</v>
      </c>
      <c r="M296" s="72">
        <v>36</v>
      </c>
      <c r="N296" s="70">
        <v>0</v>
      </c>
      <c r="O296" s="70">
        <v>0</v>
      </c>
      <c r="P296" s="70">
        <v>0</v>
      </c>
      <c r="R296" s="72" t="s">
        <v>842</v>
      </c>
    </row>
    <row r="297" ht="13.9" spans="1:21">
      <c r="A297" s="69">
        <f t="shared" si="11"/>
        <v>293</v>
      </c>
      <c r="B297" s="69" t="s">
        <v>580</v>
      </c>
      <c r="C297" s="69" t="s">
        <v>693</v>
      </c>
      <c r="D297" s="69" t="s">
        <v>237</v>
      </c>
      <c r="E297" s="69" t="s">
        <v>126</v>
      </c>
      <c r="F297" s="69" t="s">
        <v>839</v>
      </c>
      <c r="G297" s="69" t="s">
        <v>239</v>
      </c>
      <c r="H297" s="70" t="s">
        <v>843</v>
      </c>
      <c r="I297" s="70" t="s">
        <v>844</v>
      </c>
      <c r="J297" s="100" t="s">
        <v>109</v>
      </c>
      <c r="K297" s="71">
        <v>1</v>
      </c>
      <c r="L297" s="72">
        <v>1</v>
      </c>
      <c r="M297" s="72">
        <v>25</v>
      </c>
      <c r="N297" s="70">
        <v>25</v>
      </c>
      <c r="O297" s="70">
        <v>0</v>
      </c>
      <c r="P297" s="70">
        <v>0</v>
      </c>
      <c r="R297" s="72" t="s">
        <v>91</v>
      </c>
    </row>
    <row r="298" ht="13.9" spans="1:21">
      <c r="A298" s="69">
        <f t="shared" si="11"/>
        <v>294</v>
      </c>
      <c r="B298" s="69" t="s">
        <v>580</v>
      </c>
      <c r="C298" s="69" t="s">
        <v>693</v>
      </c>
      <c r="D298" s="69" t="s">
        <v>237</v>
      </c>
      <c r="E298" s="69" t="s">
        <v>126</v>
      </c>
      <c r="F298" s="69" t="s">
        <v>839</v>
      </c>
      <c r="G298" s="69" t="s">
        <v>239</v>
      </c>
      <c r="H298" s="70" t="s">
        <v>845</v>
      </c>
      <c r="I298" s="70" t="s">
        <v>846</v>
      </c>
      <c r="J298" s="100" t="s">
        <v>109</v>
      </c>
      <c r="K298" s="71">
        <v>1</v>
      </c>
      <c r="L298" s="72">
        <v>0</v>
      </c>
      <c r="M298" s="72">
        <v>20</v>
      </c>
      <c r="N298" s="70">
        <v>0</v>
      </c>
      <c r="O298" s="70">
        <v>0</v>
      </c>
      <c r="P298" s="70">
        <v>0</v>
      </c>
      <c r="R298" s="72" t="s">
        <v>842</v>
      </c>
    </row>
    <row r="299" ht="27.75" spans="1:21">
      <c r="A299" s="69">
        <f t="shared" si="11"/>
        <v>295</v>
      </c>
      <c r="B299" s="69" t="s">
        <v>580</v>
      </c>
      <c r="C299" s="69" t="s">
        <v>693</v>
      </c>
      <c r="D299" s="69" t="s">
        <v>237</v>
      </c>
      <c r="E299" s="69" t="s">
        <v>126</v>
      </c>
      <c r="F299" s="69" t="s">
        <v>839</v>
      </c>
      <c r="G299" s="69" t="s">
        <v>239</v>
      </c>
      <c r="H299" s="70" t="s">
        <v>847</v>
      </c>
      <c r="I299" s="70" t="s">
        <v>848</v>
      </c>
      <c r="J299" s="100" t="s">
        <v>109</v>
      </c>
      <c r="K299" s="71">
        <v>1</v>
      </c>
      <c r="L299" s="72">
        <v>0</v>
      </c>
      <c r="M299" s="72">
        <v>40</v>
      </c>
      <c r="N299" s="70">
        <v>0</v>
      </c>
      <c r="O299" s="70">
        <v>0</v>
      </c>
      <c r="P299" s="70">
        <v>0</v>
      </c>
      <c r="R299" s="72" t="s">
        <v>842</v>
      </c>
    </row>
    <row r="300" ht="13.9" spans="1:21">
      <c r="A300" s="69">
        <f t="shared" si="11"/>
        <v>296</v>
      </c>
      <c r="B300" s="69" t="s">
        <v>580</v>
      </c>
      <c r="C300" s="69" t="s">
        <v>693</v>
      </c>
      <c r="D300" s="69" t="s">
        <v>237</v>
      </c>
      <c r="E300" s="69" t="s">
        <v>126</v>
      </c>
      <c r="F300" s="69" t="s">
        <v>839</v>
      </c>
      <c r="G300" s="69" t="s">
        <v>239</v>
      </c>
      <c r="H300" s="70" t="s">
        <v>849</v>
      </c>
      <c r="I300" s="70" t="s">
        <v>850</v>
      </c>
      <c r="J300" s="100" t="s">
        <v>109</v>
      </c>
      <c r="K300" s="71">
        <v>1</v>
      </c>
      <c r="L300" s="72">
        <v>0</v>
      </c>
      <c r="M300" s="72">
        <v>5</v>
      </c>
      <c r="N300" s="70">
        <v>0</v>
      </c>
      <c r="O300" s="70">
        <v>0</v>
      </c>
      <c r="P300" s="70">
        <v>0</v>
      </c>
      <c r="R300" s="72" t="s">
        <v>842</v>
      </c>
    </row>
    <row r="301" ht="27.75" spans="1:21">
      <c r="A301" s="69">
        <f t="shared" si="11"/>
        <v>297</v>
      </c>
      <c r="B301" s="69" t="s">
        <v>580</v>
      </c>
      <c r="C301" s="69" t="s">
        <v>693</v>
      </c>
      <c r="D301" s="69" t="s">
        <v>237</v>
      </c>
      <c r="E301" s="69" t="s">
        <v>126</v>
      </c>
      <c r="F301" s="69" t="s">
        <v>839</v>
      </c>
      <c r="G301" s="69" t="s">
        <v>239</v>
      </c>
      <c r="H301" s="70" t="s">
        <v>851</v>
      </c>
      <c r="I301" s="70" t="s">
        <v>852</v>
      </c>
      <c r="J301" s="100" t="s">
        <v>109</v>
      </c>
      <c r="K301" s="71">
        <v>1</v>
      </c>
      <c r="L301" s="72">
        <v>1</v>
      </c>
      <c r="M301" s="72">
        <v>28</v>
      </c>
      <c r="N301" s="70">
        <v>28</v>
      </c>
      <c r="O301" s="70">
        <v>0</v>
      </c>
      <c r="P301" s="70">
        <v>0</v>
      </c>
      <c r="R301" s="72" t="s">
        <v>91</v>
      </c>
    </row>
    <row r="302" ht="13.9" spans="1:21">
      <c r="A302" s="69">
        <f t="shared" si="11"/>
        <v>298</v>
      </c>
      <c r="B302" s="97" t="s">
        <v>627</v>
      </c>
      <c r="C302" s="98" t="s">
        <v>853</v>
      </c>
      <c r="D302" s="98" t="s">
        <v>854</v>
      </c>
      <c r="E302" s="99" t="s">
        <v>126</v>
      </c>
      <c r="F302" s="126">
        <v>45861</v>
      </c>
      <c r="G302" s="69" t="s">
        <v>87</v>
      </c>
      <c r="H302" s="70" t="s">
        <v>855</v>
      </c>
      <c r="I302" s="70" t="s">
        <v>856</v>
      </c>
      <c r="J302" s="100" t="s">
        <v>109</v>
      </c>
      <c r="K302" s="71">
        <v>1</v>
      </c>
      <c r="L302" s="72">
        <v>0</v>
      </c>
      <c r="M302" s="112">
        <v>9.5090544715446</v>
      </c>
      <c r="N302" s="70">
        <v>0</v>
      </c>
      <c r="O302" s="70">
        <v>0</v>
      </c>
      <c r="P302" s="70">
        <v>0</v>
      </c>
      <c r="R302" s="102" t="s">
        <v>91</v>
      </c>
    </row>
    <row r="303" ht="13.9" spans="1:21">
      <c r="A303" s="69">
        <f t="shared" si="11"/>
        <v>299</v>
      </c>
      <c r="B303" s="97" t="s">
        <v>627</v>
      </c>
      <c r="C303" s="98" t="s">
        <v>853</v>
      </c>
      <c r="D303" s="98" t="s">
        <v>854</v>
      </c>
      <c r="E303" s="99" t="s">
        <v>126</v>
      </c>
      <c r="F303" s="126">
        <v>45861</v>
      </c>
      <c r="G303" s="69" t="s">
        <v>87</v>
      </c>
      <c r="H303" s="70" t="s">
        <v>857</v>
      </c>
      <c r="I303" s="70" t="s">
        <v>858</v>
      </c>
      <c r="J303" s="100" t="s">
        <v>109</v>
      </c>
      <c r="K303" s="71">
        <v>1</v>
      </c>
      <c r="L303" s="72">
        <v>0</v>
      </c>
      <c r="M303" s="112">
        <v>5.76548986906283</v>
      </c>
      <c r="N303" s="70">
        <v>0</v>
      </c>
      <c r="O303" s="70">
        <v>0</v>
      </c>
      <c r="P303" s="70">
        <v>0</v>
      </c>
      <c r="R303" s="102" t="s">
        <v>91</v>
      </c>
    </row>
    <row r="304" ht="13.9" spans="1:21">
      <c r="A304" s="69">
        <f t="shared" si="11"/>
        <v>300</v>
      </c>
      <c r="B304" s="97" t="s">
        <v>627</v>
      </c>
      <c r="C304" s="98" t="s">
        <v>853</v>
      </c>
      <c r="D304" s="98" t="s">
        <v>854</v>
      </c>
      <c r="E304" s="99" t="s">
        <v>126</v>
      </c>
      <c r="F304" s="126">
        <v>45861</v>
      </c>
      <c r="G304" s="69" t="s">
        <v>87</v>
      </c>
      <c r="H304" s="70" t="s">
        <v>859</v>
      </c>
      <c r="I304" s="70" t="s">
        <v>860</v>
      </c>
      <c r="J304" s="100" t="s">
        <v>109</v>
      </c>
      <c r="K304" s="71">
        <v>1</v>
      </c>
      <c r="L304" s="72">
        <v>0</v>
      </c>
      <c r="M304" s="112">
        <v>13.6611348773453</v>
      </c>
      <c r="N304" s="70">
        <v>0</v>
      </c>
      <c r="O304" s="70">
        <v>0</v>
      </c>
      <c r="P304" s="70">
        <v>0</v>
      </c>
      <c r="R304" s="102" t="s">
        <v>91</v>
      </c>
    </row>
    <row r="305" ht="13.9" spans="1:18">
      <c r="A305" s="69">
        <f t="shared" si="11"/>
        <v>301</v>
      </c>
      <c r="B305" s="97" t="s">
        <v>627</v>
      </c>
      <c r="C305" s="98" t="s">
        <v>853</v>
      </c>
      <c r="D305" s="98" t="s">
        <v>854</v>
      </c>
      <c r="E305" s="99" t="s">
        <v>126</v>
      </c>
      <c r="F305" s="126">
        <v>45861</v>
      </c>
      <c r="G305" s="69" t="s">
        <v>87</v>
      </c>
      <c r="H305" s="70" t="s">
        <v>861</v>
      </c>
      <c r="I305" s="70" t="s">
        <v>862</v>
      </c>
      <c r="J305" s="100" t="s">
        <v>109</v>
      </c>
      <c r="K305" s="71">
        <v>1</v>
      </c>
      <c r="L305" s="72">
        <v>0</v>
      </c>
      <c r="M305" s="112">
        <v>5.82811842105264</v>
      </c>
      <c r="N305" s="70">
        <v>0</v>
      </c>
      <c r="O305" s="70">
        <v>0</v>
      </c>
      <c r="P305" s="70">
        <v>0</v>
      </c>
      <c r="R305" s="102" t="s">
        <v>91</v>
      </c>
    </row>
    <row r="306" ht="13.9" spans="1:18">
      <c r="A306" s="69">
        <f t="shared" si="11"/>
        <v>302</v>
      </c>
      <c r="B306" s="97" t="s">
        <v>627</v>
      </c>
      <c r="C306" s="98" t="s">
        <v>853</v>
      </c>
      <c r="D306" s="98" t="s">
        <v>854</v>
      </c>
      <c r="E306" s="99" t="s">
        <v>126</v>
      </c>
      <c r="F306" s="126">
        <v>45861</v>
      </c>
      <c r="G306" s="69" t="s">
        <v>87</v>
      </c>
      <c r="H306" s="70" t="s">
        <v>863</v>
      </c>
      <c r="I306" s="70" t="s">
        <v>864</v>
      </c>
      <c r="J306" s="100" t="s">
        <v>109</v>
      </c>
      <c r="K306" s="71">
        <v>1</v>
      </c>
      <c r="L306" s="72">
        <v>0</v>
      </c>
      <c r="M306" s="112">
        <v>5.82811842105264</v>
      </c>
      <c r="N306" s="70">
        <v>0</v>
      </c>
      <c r="O306" s="70">
        <v>0</v>
      </c>
      <c r="P306" s="70">
        <v>0</v>
      </c>
      <c r="R306" s="102" t="s">
        <v>91</v>
      </c>
    </row>
    <row r="307" ht="13.9" spans="1:18">
      <c r="A307" s="69">
        <f t="shared" si="11"/>
        <v>303</v>
      </c>
      <c r="B307" s="97" t="s">
        <v>627</v>
      </c>
      <c r="C307" s="98" t="s">
        <v>853</v>
      </c>
      <c r="D307" s="98" t="s">
        <v>854</v>
      </c>
      <c r="E307" s="99" t="s">
        <v>126</v>
      </c>
      <c r="F307" s="126">
        <v>45861</v>
      </c>
      <c r="G307" s="69" t="s">
        <v>87</v>
      </c>
      <c r="H307" s="70" t="s">
        <v>865</v>
      </c>
      <c r="I307" s="70" t="s">
        <v>866</v>
      </c>
      <c r="J307" s="100" t="s">
        <v>109</v>
      </c>
      <c r="K307" s="71">
        <v>1</v>
      </c>
      <c r="L307" s="72">
        <v>0</v>
      </c>
      <c r="M307" s="112">
        <v>11.6444313936312</v>
      </c>
      <c r="N307" s="70">
        <v>0</v>
      </c>
      <c r="O307" s="70">
        <v>0</v>
      </c>
      <c r="P307" s="70">
        <v>0</v>
      </c>
      <c r="R307" s="102" t="s">
        <v>91</v>
      </c>
    </row>
    <row r="308" ht="13.9" spans="1:18">
      <c r="A308" s="69">
        <f t="shared" si="11"/>
        <v>304</v>
      </c>
      <c r="B308" s="97" t="s">
        <v>627</v>
      </c>
      <c r="C308" s="98" t="s">
        <v>853</v>
      </c>
      <c r="D308" s="98" t="s">
        <v>854</v>
      </c>
      <c r="E308" s="99" t="s">
        <v>126</v>
      </c>
      <c r="F308" s="126">
        <v>45861</v>
      </c>
      <c r="G308" s="69" t="s">
        <v>87</v>
      </c>
      <c r="H308" s="70" t="s">
        <v>867</v>
      </c>
      <c r="I308" s="70" t="s">
        <v>868</v>
      </c>
      <c r="J308" s="100" t="s">
        <v>109</v>
      </c>
      <c r="K308" s="71">
        <v>1</v>
      </c>
      <c r="L308" s="72">
        <v>0</v>
      </c>
      <c r="M308" s="112">
        <v>4.02880955578255</v>
      </c>
      <c r="N308" s="70">
        <v>0</v>
      </c>
      <c r="O308" s="70">
        <v>0</v>
      </c>
      <c r="P308" s="70">
        <v>0</v>
      </c>
      <c r="R308" s="102" t="s">
        <v>91</v>
      </c>
    </row>
    <row r="309" ht="13.9" spans="1:18">
      <c r="A309" s="69">
        <f t="shared" si="11"/>
        <v>305</v>
      </c>
      <c r="B309" s="97" t="s">
        <v>627</v>
      </c>
      <c r="C309" s="98" t="s">
        <v>853</v>
      </c>
      <c r="D309" s="98" t="s">
        <v>854</v>
      </c>
      <c r="E309" s="99" t="s">
        <v>126</v>
      </c>
      <c r="F309" s="126">
        <v>45861</v>
      </c>
      <c r="G309" s="69" t="s">
        <v>87</v>
      </c>
      <c r="H309" s="70" t="s">
        <v>869</v>
      </c>
      <c r="I309" s="70" t="s">
        <v>870</v>
      </c>
      <c r="J309" s="100" t="s">
        <v>109</v>
      </c>
      <c r="K309" s="71">
        <v>1</v>
      </c>
      <c r="L309" s="72">
        <v>0</v>
      </c>
      <c r="M309" s="112">
        <v>1.89574363141858</v>
      </c>
      <c r="N309" s="70">
        <v>0</v>
      </c>
      <c r="O309" s="70">
        <v>0</v>
      </c>
      <c r="P309" s="70">
        <v>0</v>
      </c>
      <c r="R309" s="102" t="s">
        <v>91</v>
      </c>
    </row>
    <row r="310" ht="27.75" spans="1:18">
      <c r="A310" s="69">
        <f t="shared" si="11"/>
        <v>306</v>
      </c>
      <c r="B310" s="97" t="s">
        <v>627</v>
      </c>
      <c r="C310" s="98" t="s">
        <v>853</v>
      </c>
      <c r="D310" s="98" t="s">
        <v>854</v>
      </c>
      <c r="E310" s="99" t="s">
        <v>126</v>
      </c>
      <c r="F310" s="126">
        <v>45861</v>
      </c>
      <c r="G310" s="69" t="s">
        <v>87</v>
      </c>
      <c r="H310" s="70" t="s">
        <v>871</v>
      </c>
      <c r="I310" s="70" t="s">
        <v>872</v>
      </c>
      <c r="J310" s="100" t="s">
        <v>109</v>
      </c>
      <c r="K310" s="71">
        <v>1</v>
      </c>
      <c r="L310" s="72">
        <v>0</v>
      </c>
      <c r="M310" s="112">
        <v>14.96</v>
      </c>
      <c r="N310" s="70">
        <v>0</v>
      </c>
      <c r="O310" s="70">
        <v>0</v>
      </c>
      <c r="P310" s="70">
        <v>0</v>
      </c>
      <c r="R310" s="102" t="s">
        <v>91</v>
      </c>
    </row>
    <row r="311" ht="13.9" spans="1:18">
      <c r="A311" s="69">
        <f t="shared" si="11"/>
        <v>307</v>
      </c>
      <c r="B311" s="97" t="s">
        <v>627</v>
      </c>
      <c r="C311" s="98" t="s">
        <v>853</v>
      </c>
      <c r="D311" s="98" t="s">
        <v>854</v>
      </c>
      <c r="E311" s="99" t="s">
        <v>126</v>
      </c>
      <c r="F311" s="126">
        <v>45861</v>
      </c>
      <c r="G311" s="69" t="s">
        <v>87</v>
      </c>
      <c r="H311" s="70" t="s">
        <v>873</v>
      </c>
      <c r="I311" s="70" t="s">
        <v>874</v>
      </c>
      <c r="J311" s="100" t="s">
        <v>109</v>
      </c>
      <c r="K311" s="71">
        <v>1</v>
      </c>
      <c r="L311" s="72">
        <v>0</v>
      </c>
      <c r="M311" s="112">
        <v>7.00418466039527</v>
      </c>
      <c r="N311" s="70">
        <v>0</v>
      </c>
      <c r="O311" s="70">
        <v>0</v>
      </c>
      <c r="P311" s="70">
        <v>0</v>
      </c>
      <c r="R311" s="102" t="s">
        <v>91</v>
      </c>
    </row>
    <row r="312" ht="13.9" spans="1:18">
      <c r="A312" s="69">
        <f t="shared" si="11"/>
        <v>308</v>
      </c>
      <c r="B312" s="69" t="s">
        <v>692</v>
      </c>
      <c r="C312" s="69" t="s">
        <v>875</v>
      </c>
      <c r="D312" s="69" t="s">
        <v>876</v>
      </c>
      <c r="E312" s="99" t="s">
        <v>126</v>
      </c>
      <c r="F312" s="126">
        <v>45861</v>
      </c>
      <c r="G312" s="69" t="s">
        <v>87</v>
      </c>
      <c r="H312" s="70" t="s">
        <v>877</v>
      </c>
      <c r="I312" s="70" t="s">
        <v>878</v>
      </c>
      <c r="J312" s="100" t="s">
        <v>109</v>
      </c>
      <c r="K312" s="71">
        <v>1</v>
      </c>
      <c r="L312" s="72">
        <v>0</v>
      </c>
      <c r="M312" s="112">
        <v>0.94</v>
      </c>
      <c r="N312" s="70">
        <v>0</v>
      </c>
      <c r="O312" s="70">
        <v>0</v>
      </c>
      <c r="P312" s="70">
        <v>0</v>
      </c>
      <c r="R312" s="102" t="s">
        <v>91</v>
      </c>
    </row>
    <row r="313" ht="13.9" spans="1:18">
      <c r="A313" s="69">
        <f t="shared" si="11"/>
        <v>309</v>
      </c>
      <c r="B313" s="69" t="s">
        <v>692</v>
      </c>
      <c r="C313" s="69" t="s">
        <v>875</v>
      </c>
      <c r="D313" s="69" t="s">
        <v>876</v>
      </c>
      <c r="E313" s="99" t="s">
        <v>126</v>
      </c>
      <c r="F313" s="126">
        <v>45858</v>
      </c>
      <c r="G313" s="69" t="s">
        <v>87</v>
      </c>
      <c r="H313" s="70" t="s">
        <v>879</v>
      </c>
      <c r="I313" s="70" t="s">
        <v>359</v>
      </c>
      <c r="J313" s="100" t="s">
        <v>109</v>
      </c>
      <c r="K313" s="71">
        <v>1</v>
      </c>
      <c r="L313" s="72">
        <v>0</v>
      </c>
      <c r="M313" s="112">
        <v>7.42</v>
      </c>
      <c r="N313" s="70">
        <v>0</v>
      </c>
      <c r="O313" s="70">
        <v>0</v>
      </c>
      <c r="P313" s="70">
        <v>0</v>
      </c>
      <c r="R313" s="102" t="s">
        <v>91</v>
      </c>
    </row>
    <row r="314" ht="13.9" spans="1:18">
      <c r="A314" s="69">
        <f t="shared" si="11"/>
        <v>310</v>
      </c>
      <c r="B314" s="69" t="s">
        <v>692</v>
      </c>
      <c r="C314" s="69" t="s">
        <v>875</v>
      </c>
      <c r="D314" s="69" t="s">
        <v>876</v>
      </c>
      <c r="E314" s="99" t="s">
        <v>126</v>
      </c>
      <c r="F314" s="126">
        <v>45858</v>
      </c>
      <c r="G314" s="69" t="s">
        <v>87</v>
      </c>
      <c r="H314" s="70" t="s">
        <v>880</v>
      </c>
      <c r="I314" s="70" t="s">
        <v>881</v>
      </c>
      <c r="J314" s="100" t="s">
        <v>109</v>
      </c>
      <c r="K314" s="71">
        <v>1</v>
      </c>
      <c r="L314" s="72">
        <v>0</v>
      </c>
      <c r="M314" s="112">
        <v>1.21</v>
      </c>
      <c r="N314" s="70">
        <v>0</v>
      </c>
      <c r="O314" s="70">
        <v>0</v>
      </c>
      <c r="P314" s="70">
        <v>0</v>
      </c>
      <c r="R314" s="102" t="s">
        <v>91</v>
      </c>
    </row>
    <row r="315" ht="13.9" spans="1:18">
      <c r="A315" s="69">
        <f t="shared" si="11"/>
        <v>311</v>
      </c>
      <c r="B315" s="69" t="s">
        <v>692</v>
      </c>
      <c r="C315" s="69" t="s">
        <v>875</v>
      </c>
      <c r="D315" s="69" t="s">
        <v>876</v>
      </c>
      <c r="E315" s="99" t="s">
        <v>126</v>
      </c>
      <c r="F315" s="126">
        <v>45858</v>
      </c>
      <c r="G315" s="69" t="s">
        <v>87</v>
      </c>
      <c r="H315" s="70" t="s">
        <v>882</v>
      </c>
      <c r="I315" s="70" t="s">
        <v>883</v>
      </c>
      <c r="J315" s="100" t="s">
        <v>109</v>
      </c>
      <c r="K315" s="71">
        <v>1</v>
      </c>
      <c r="L315" s="72">
        <v>0</v>
      </c>
      <c r="M315" s="112">
        <v>0.45</v>
      </c>
      <c r="N315" s="70">
        <v>0</v>
      </c>
      <c r="O315" s="70">
        <v>0</v>
      </c>
      <c r="P315" s="70">
        <v>0</v>
      </c>
      <c r="R315" s="102" t="s">
        <v>91</v>
      </c>
    </row>
    <row r="316" ht="13.9" spans="1:18">
      <c r="A316" s="69">
        <f t="shared" si="11"/>
        <v>312</v>
      </c>
      <c r="B316" s="97" t="s">
        <v>556</v>
      </c>
      <c r="C316" s="98" t="s">
        <v>884</v>
      </c>
      <c r="D316" s="98" t="s">
        <v>84</v>
      </c>
      <c r="E316" s="99" t="s">
        <v>126</v>
      </c>
      <c r="F316" s="126">
        <v>45846</v>
      </c>
      <c r="G316" s="69" t="s">
        <v>87</v>
      </c>
      <c r="H316" s="70" t="s">
        <v>885</v>
      </c>
      <c r="I316" s="70" t="s">
        <v>418</v>
      </c>
      <c r="J316" s="100" t="s">
        <v>109</v>
      </c>
      <c r="K316" s="71">
        <v>1</v>
      </c>
      <c r="L316" s="72">
        <v>0</v>
      </c>
      <c r="M316" s="112">
        <v>1.5</v>
      </c>
      <c r="N316" s="70">
        <v>0</v>
      </c>
      <c r="O316" s="70">
        <v>0</v>
      </c>
      <c r="P316" s="70">
        <v>0</v>
      </c>
      <c r="R316" s="102" t="s">
        <v>91</v>
      </c>
    </row>
    <row r="317" ht="27.75" spans="1:18">
      <c r="A317" s="69">
        <f t="shared" si="11"/>
        <v>313</v>
      </c>
      <c r="B317" s="97" t="s">
        <v>556</v>
      </c>
      <c r="C317" s="98" t="s">
        <v>884</v>
      </c>
      <c r="D317" s="98" t="s">
        <v>84</v>
      </c>
      <c r="E317" s="99" t="s">
        <v>126</v>
      </c>
      <c r="F317" s="126">
        <v>45846</v>
      </c>
      <c r="G317" s="69" t="s">
        <v>87</v>
      </c>
      <c r="H317" s="70" t="s">
        <v>886</v>
      </c>
      <c r="I317" s="70" t="s">
        <v>887</v>
      </c>
      <c r="J317" s="100" t="s">
        <v>109</v>
      </c>
      <c r="K317" s="71">
        <v>1</v>
      </c>
      <c r="L317" s="72">
        <v>0</v>
      </c>
      <c r="M317" s="112">
        <v>1.2</v>
      </c>
      <c r="N317" s="70">
        <v>0</v>
      </c>
      <c r="O317" s="70">
        <v>0</v>
      </c>
      <c r="P317" s="70">
        <v>0</v>
      </c>
      <c r="R317" s="102" t="s">
        <v>91</v>
      </c>
    </row>
    <row r="318" ht="27.75" spans="1:18">
      <c r="A318" s="69">
        <f t="shared" si="11"/>
        <v>314</v>
      </c>
      <c r="B318" s="97" t="s">
        <v>556</v>
      </c>
      <c r="C318" s="98" t="s">
        <v>884</v>
      </c>
      <c r="D318" s="98" t="s">
        <v>84</v>
      </c>
      <c r="E318" s="99" t="s">
        <v>126</v>
      </c>
      <c r="F318" s="126">
        <v>45846</v>
      </c>
      <c r="G318" s="69" t="s">
        <v>87</v>
      </c>
      <c r="H318" s="70" t="s">
        <v>888</v>
      </c>
      <c r="I318" s="70" t="s">
        <v>889</v>
      </c>
      <c r="J318" s="100" t="s">
        <v>109</v>
      </c>
      <c r="K318" s="71">
        <v>1</v>
      </c>
      <c r="L318" s="72">
        <v>0</v>
      </c>
      <c r="M318" s="112">
        <v>1.1</v>
      </c>
      <c r="N318" s="70">
        <v>0</v>
      </c>
      <c r="O318" s="70">
        <v>0</v>
      </c>
      <c r="P318" s="70">
        <v>0</v>
      </c>
      <c r="R318" s="102" t="s">
        <v>91</v>
      </c>
    </row>
    <row r="319" ht="13.9" spans="1:18">
      <c r="A319" s="69">
        <f t="shared" si="11"/>
        <v>315</v>
      </c>
      <c r="B319" s="97" t="s">
        <v>556</v>
      </c>
      <c r="C319" s="98" t="s">
        <v>884</v>
      </c>
      <c r="D319" s="98" t="s">
        <v>84</v>
      </c>
      <c r="E319" s="99" t="s">
        <v>126</v>
      </c>
      <c r="F319" s="126">
        <v>45846</v>
      </c>
      <c r="G319" s="69" t="s">
        <v>87</v>
      </c>
      <c r="H319" s="70" t="s">
        <v>890</v>
      </c>
      <c r="I319" s="70" t="s">
        <v>891</v>
      </c>
      <c r="J319" s="100" t="s">
        <v>109</v>
      </c>
      <c r="K319" s="71">
        <v>1</v>
      </c>
      <c r="L319" s="72">
        <v>0</v>
      </c>
      <c r="M319" s="112">
        <v>2.55</v>
      </c>
      <c r="N319" s="70">
        <v>0</v>
      </c>
      <c r="O319" s="70">
        <v>0</v>
      </c>
      <c r="P319" s="70">
        <v>0</v>
      </c>
      <c r="R319" s="102" t="s">
        <v>91</v>
      </c>
    </row>
    <row r="320" ht="13.9" spans="1:18">
      <c r="A320" s="69">
        <f t="shared" si="11"/>
        <v>316</v>
      </c>
      <c r="B320" s="97" t="s">
        <v>556</v>
      </c>
      <c r="C320" s="98" t="s">
        <v>884</v>
      </c>
      <c r="D320" s="98" t="s">
        <v>84</v>
      </c>
      <c r="E320" s="99" t="s">
        <v>126</v>
      </c>
      <c r="F320" s="126">
        <v>45846</v>
      </c>
      <c r="G320" s="69" t="s">
        <v>87</v>
      </c>
      <c r="H320" s="70" t="s">
        <v>892</v>
      </c>
      <c r="I320" s="70" t="s">
        <v>893</v>
      </c>
      <c r="J320" s="100" t="s">
        <v>109</v>
      </c>
      <c r="K320" s="71">
        <v>1</v>
      </c>
      <c r="L320" s="72">
        <v>0</v>
      </c>
      <c r="M320" s="112">
        <v>128.736993204402</v>
      </c>
      <c r="N320" s="70">
        <v>0</v>
      </c>
      <c r="O320" s="70">
        <v>0</v>
      </c>
      <c r="P320" s="70">
        <v>0</v>
      </c>
      <c r="R320" s="102" t="s">
        <v>91</v>
      </c>
    </row>
    <row r="321" ht="13.9" spans="1:18">
      <c r="A321" s="69">
        <f t="shared" si="11"/>
        <v>317</v>
      </c>
      <c r="B321" s="97" t="s">
        <v>894</v>
      </c>
      <c r="C321" s="98" t="s">
        <v>895</v>
      </c>
      <c r="D321" s="98" t="s">
        <v>896</v>
      </c>
      <c r="E321" s="99" t="s">
        <v>126</v>
      </c>
      <c r="F321" s="126">
        <v>45846</v>
      </c>
      <c r="G321" s="69" t="s">
        <v>87</v>
      </c>
      <c r="H321" s="70" t="s">
        <v>897</v>
      </c>
      <c r="I321" s="70" t="s">
        <v>898</v>
      </c>
      <c r="J321" s="71" t="s">
        <v>90</v>
      </c>
      <c r="K321" s="71">
        <v>1</v>
      </c>
      <c r="L321" s="71">
        <v>1</v>
      </c>
      <c r="M321" s="112">
        <v>3.0888</v>
      </c>
      <c r="N321" s="70">
        <v>0</v>
      </c>
      <c r="O321" s="70">
        <v>0</v>
      </c>
      <c r="P321" s="70">
        <v>0</v>
      </c>
      <c r="R321" s="102" t="s">
        <v>91</v>
      </c>
    </row>
    <row r="322" ht="13.9" spans="1:18">
      <c r="A322" s="69">
        <f t="shared" si="11"/>
        <v>318</v>
      </c>
      <c r="B322" s="97" t="s">
        <v>894</v>
      </c>
      <c r="C322" s="98" t="s">
        <v>895</v>
      </c>
      <c r="D322" s="98" t="s">
        <v>896</v>
      </c>
      <c r="E322" s="99" t="s">
        <v>126</v>
      </c>
      <c r="F322" s="126">
        <v>45846</v>
      </c>
      <c r="G322" s="69" t="s">
        <v>87</v>
      </c>
      <c r="H322" s="70" t="s">
        <v>899</v>
      </c>
      <c r="I322" s="70" t="s">
        <v>900</v>
      </c>
      <c r="J322" s="71" t="s">
        <v>90</v>
      </c>
      <c r="K322" s="71">
        <v>1</v>
      </c>
      <c r="L322" s="71">
        <v>1</v>
      </c>
      <c r="M322" s="112">
        <v>3.333</v>
      </c>
      <c r="N322" s="70">
        <v>0</v>
      </c>
      <c r="O322" s="70">
        <v>0</v>
      </c>
      <c r="P322" s="70">
        <v>0</v>
      </c>
      <c r="R322" s="102" t="s">
        <v>91</v>
      </c>
    </row>
    <row r="323" ht="13.9" spans="1:18">
      <c r="A323" s="69">
        <f t="shared" si="11"/>
        <v>319</v>
      </c>
      <c r="B323" s="97" t="s">
        <v>894</v>
      </c>
      <c r="C323" s="98" t="s">
        <v>895</v>
      </c>
      <c r="D323" s="98" t="s">
        <v>896</v>
      </c>
      <c r="E323" s="99" t="s">
        <v>126</v>
      </c>
      <c r="F323" s="126">
        <v>45846</v>
      </c>
      <c r="G323" s="69" t="s">
        <v>87</v>
      </c>
      <c r="H323" s="70" t="s">
        <v>671</v>
      </c>
      <c r="I323" s="70" t="s">
        <v>672</v>
      </c>
      <c r="J323" s="100" t="s">
        <v>109</v>
      </c>
      <c r="K323" s="71">
        <v>1</v>
      </c>
      <c r="L323" s="72">
        <v>0</v>
      </c>
      <c r="M323" s="112">
        <v>3.22711529735743</v>
      </c>
      <c r="N323" s="70">
        <v>0</v>
      </c>
      <c r="O323" s="70">
        <v>0</v>
      </c>
      <c r="P323" s="70">
        <v>0</v>
      </c>
      <c r="R323" s="102" t="s">
        <v>91</v>
      </c>
    </row>
    <row r="324" ht="13.9" spans="1:18">
      <c r="A324" s="69">
        <f t="shared" si="11"/>
        <v>320</v>
      </c>
      <c r="B324" s="97" t="s">
        <v>894</v>
      </c>
      <c r="C324" s="98" t="s">
        <v>895</v>
      </c>
      <c r="D324" s="98" t="s">
        <v>896</v>
      </c>
      <c r="E324" s="99" t="s">
        <v>126</v>
      </c>
      <c r="F324" s="126">
        <v>45846</v>
      </c>
      <c r="G324" s="69" t="s">
        <v>87</v>
      </c>
      <c r="H324" s="70" t="s">
        <v>674</v>
      </c>
      <c r="I324" s="70" t="s">
        <v>671</v>
      </c>
      <c r="J324" s="100" t="s">
        <v>109</v>
      </c>
      <c r="K324" s="71">
        <v>1</v>
      </c>
      <c r="L324" s="72">
        <v>0</v>
      </c>
      <c r="M324" s="112">
        <v>2.05535</v>
      </c>
      <c r="N324" s="70">
        <v>0</v>
      </c>
      <c r="O324" s="70">
        <v>0</v>
      </c>
      <c r="P324" s="70">
        <v>0</v>
      </c>
      <c r="R324" s="102" t="s">
        <v>91</v>
      </c>
    </row>
    <row r="325" ht="13.9" spans="1:18">
      <c r="A325" s="69">
        <f t="shared" ref="A325:A388" si="12">ROW()-4</f>
        <v>321</v>
      </c>
      <c r="B325" s="97" t="s">
        <v>894</v>
      </c>
      <c r="C325" s="98" t="s">
        <v>901</v>
      </c>
      <c r="D325" s="98" t="s">
        <v>902</v>
      </c>
      <c r="E325" s="99" t="s">
        <v>126</v>
      </c>
      <c r="F325" s="126">
        <v>45842</v>
      </c>
      <c r="G325" s="69" t="s">
        <v>87</v>
      </c>
      <c r="H325" s="70" t="s">
        <v>903</v>
      </c>
      <c r="I325" s="70" t="s">
        <v>904</v>
      </c>
      <c r="J325" s="100" t="s">
        <v>109</v>
      </c>
      <c r="K325" s="71">
        <v>1</v>
      </c>
      <c r="L325" s="72">
        <v>0</v>
      </c>
      <c r="M325" s="127">
        <v>1.68</v>
      </c>
      <c r="N325" s="70">
        <v>0</v>
      </c>
      <c r="O325" s="70">
        <v>0</v>
      </c>
      <c r="P325" s="70">
        <v>0</v>
      </c>
      <c r="R325" s="102" t="s">
        <v>91</v>
      </c>
    </row>
    <row r="326" ht="13.9" spans="1:18">
      <c r="A326" s="69">
        <f t="shared" si="12"/>
        <v>322</v>
      </c>
      <c r="B326" s="97" t="s">
        <v>894</v>
      </c>
      <c r="C326" s="98" t="s">
        <v>905</v>
      </c>
      <c r="D326" s="98" t="s">
        <v>906</v>
      </c>
      <c r="E326" s="99" t="s">
        <v>126</v>
      </c>
      <c r="F326" s="126">
        <v>45842</v>
      </c>
      <c r="G326" s="69" t="s">
        <v>87</v>
      </c>
      <c r="H326" s="70" t="s">
        <v>907</v>
      </c>
      <c r="I326" s="70" t="s">
        <v>908</v>
      </c>
      <c r="J326" s="100" t="s">
        <v>109</v>
      </c>
      <c r="K326" s="71">
        <v>1</v>
      </c>
      <c r="L326" s="72">
        <v>0</v>
      </c>
      <c r="M326" s="127">
        <v>1.14</v>
      </c>
      <c r="N326" s="70">
        <v>0</v>
      </c>
      <c r="O326" s="70">
        <v>0</v>
      </c>
      <c r="P326" s="70">
        <v>0</v>
      </c>
      <c r="R326" s="102" t="s">
        <v>91</v>
      </c>
    </row>
    <row r="327" ht="27.75" spans="1:18">
      <c r="A327" s="69">
        <f t="shared" si="12"/>
        <v>323</v>
      </c>
      <c r="B327" s="69" t="s">
        <v>556</v>
      </c>
      <c r="C327" s="98" t="s">
        <v>909</v>
      </c>
      <c r="D327" s="69" t="s">
        <v>910</v>
      </c>
      <c r="E327" s="99" t="s">
        <v>126</v>
      </c>
      <c r="F327" s="110">
        <v>45838</v>
      </c>
      <c r="G327" s="69" t="s">
        <v>574</v>
      </c>
      <c r="H327" s="70" t="s">
        <v>911</v>
      </c>
      <c r="I327" s="70" t="s">
        <v>912</v>
      </c>
      <c r="J327" s="71" t="s">
        <v>109</v>
      </c>
      <c r="K327" s="71">
        <v>1</v>
      </c>
      <c r="L327" s="72">
        <v>1</v>
      </c>
      <c r="M327" s="72">
        <v>7</v>
      </c>
      <c r="N327" s="70">
        <v>7</v>
      </c>
      <c r="O327" s="70">
        <v>0</v>
      </c>
      <c r="P327" s="70">
        <v>0</v>
      </c>
      <c r="R327" s="72" t="s">
        <v>91</v>
      </c>
    </row>
    <row r="328" ht="27.75" spans="1:18">
      <c r="A328" s="69">
        <f t="shared" si="12"/>
        <v>324</v>
      </c>
      <c r="B328" s="69" t="s">
        <v>556</v>
      </c>
      <c r="C328" s="98" t="s">
        <v>909</v>
      </c>
      <c r="D328" s="69" t="s">
        <v>910</v>
      </c>
      <c r="E328" s="99" t="s">
        <v>126</v>
      </c>
      <c r="F328" s="110">
        <v>45838</v>
      </c>
      <c r="G328" s="69" t="s">
        <v>574</v>
      </c>
      <c r="H328" s="70" t="s">
        <v>913</v>
      </c>
      <c r="I328" s="70" t="s">
        <v>912</v>
      </c>
      <c r="J328" s="71" t="s">
        <v>109</v>
      </c>
      <c r="K328" s="71">
        <v>1</v>
      </c>
      <c r="L328" s="72">
        <v>1</v>
      </c>
      <c r="M328" s="72">
        <v>10</v>
      </c>
      <c r="N328" s="70">
        <v>10</v>
      </c>
      <c r="O328" s="70">
        <v>0</v>
      </c>
      <c r="P328" s="70">
        <v>0</v>
      </c>
      <c r="R328" s="72" t="s">
        <v>91</v>
      </c>
    </row>
    <row r="329" ht="27.75" spans="1:18">
      <c r="A329" s="69">
        <f t="shared" si="12"/>
        <v>325</v>
      </c>
      <c r="B329" s="69" t="s">
        <v>556</v>
      </c>
      <c r="C329" s="98" t="s">
        <v>909</v>
      </c>
      <c r="D329" s="69" t="s">
        <v>910</v>
      </c>
      <c r="E329" s="99" t="s">
        <v>126</v>
      </c>
      <c r="F329" s="110">
        <v>45838</v>
      </c>
      <c r="G329" s="69" t="s">
        <v>574</v>
      </c>
      <c r="H329" s="70" t="s">
        <v>914</v>
      </c>
      <c r="I329" s="70" t="s">
        <v>912</v>
      </c>
      <c r="J329" s="71" t="s">
        <v>109</v>
      </c>
      <c r="K329" s="71">
        <v>1</v>
      </c>
      <c r="L329" s="72">
        <v>1</v>
      </c>
      <c r="M329" s="72">
        <v>8</v>
      </c>
      <c r="N329" s="70">
        <v>8</v>
      </c>
      <c r="O329" s="70">
        <v>0</v>
      </c>
      <c r="P329" s="70">
        <v>0</v>
      </c>
      <c r="R329" s="72" t="s">
        <v>91</v>
      </c>
    </row>
    <row r="330" ht="27.75" spans="1:18">
      <c r="A330" s="69">
        <f t="shared" si="12"/>
        <v>326</v>
      </c>
      <c r="B330" s="69" t="s">
        <v>556</v>
      </c>
      <c r="C330" s="98" t="s">
        <v>909</v>
      </c>
      <c r="D330" s="69" t="s">
        <v>910</v>
      </c>
      <c r="E330" s="99" t="s">
        <v>126</v>
      </c>
      <c r="F330" s="110">
        <v>45838</v>
      </c>
      <c r="G330" s="69" t="s">
        <v>574</v>
      </c>
      <c r="H330" s="70" t="s">
        <v>915</v>
      </c>
      <c r="I330" s="70" t="s">
        <v>912</v>
      </c>
      <c r="J330" s="71" t="s">
        <v>109</v>
      </c>
      <c r="K330" s="71">
        <v>1</v>
      </c>
      <c r="L330" s="72">
        <v>1</v>
      </c>
      <c r="M330" s="72">
        <v>6</v>
      </c>
      <c r="N330" s="70">
        <v>6</v>
      </c>
      <c r="O330" s="70">
        <v>0</v>
      </c>
      <c r="P330" s="70">
        <v>0</v>
      </c>
      <c r="R330" s="72" t="s">
        <v>91</v>
      </c>
    </row>
    <row r="331" ht="13.9" spans="1:18">
      <c r="A331" s="69">
        <f t="shared" si="12"/>
        <v>327</v>
      </c>
      <c r="B331" s="69" t="s">
        <v>556</v>
      </c>
      <c r="C331" s="69" t="s">
        <v>916</v>
      </c>
      <c r="D331" s="69" t="s">
        <v>917</v>
      </c>
      <c r="E331" s="99" t="s">
        <v>126</v>
      </c>
      <c r="F331" s="110">
        <v>45840</v>
      </c>
      <c r="G331" s="69" t="s">
        <v>574</v>
      </c>
      <c r="H331" s="70" t="s">
        <v>918</v>
      </c>
      <c r="I331" s="70" t="s">
        <v>919</v>
      </c>
      <c r="J331" s="71" t="s">
        <v>109</v>
      </c>
      <c r="K331" s="71">
        <v>1</v>
      </c>
      <c r="L331" s="72">
        <v>1</v>
      </c>
      <c r="M331" s="72">
        <v>3</v>
      </c>
      <c r="N331" s="70">
        <v>3</v>
      </c>
      <c r="O331" s="70">
        <v>0</v>
      </c>
      <c r="P331" s="70">
        <v>0</v>
      </c>
      <c r="R331" s="72" t="s">
        <v>91</v>
      </c>
    </row>
    <row r="332" ht="13.9" spans="1:18">
      <c r="A332" s="69">
        <f t="shared" si="12"/>
        <v>328</v>
      </c>
      <c r="B332" s="69" t="s">
        <v>556</v>
      </c>
      <c r="C332" s="69" t="s">
        <v>916</v>
      </c>
      <c r="D332" s="69" t="s">
        <v>917</v>
      </c>
      <c r="E332" s="99" t="s">
        <v>126</v>
      </c>
      <c r="F332" s="110">
        <v>45840</v>
      </c>
      <c r="G332" s="69" t="s">
        <v>574</v>
      </c>
      <c r="H332" s="70" t="s">
        <v>920</v>
      </c>
      <c r="I332" s="70" t="s">
        <v>921</v>
      </c>
      <c r="J332" s="71" t="s">
        <v>109</v>
      </c>
      <c r="K332" s="71">
        <v>1</v>
      </c>
      <c r="L332" s="72">
        <v>1</v>
      </c>
      <c r="M332" s="72">
        <v>0.3</v>
      </c>
      <c r="N332" s="70">
        <v>0.3</v>
      </c>
      <c r="O332" s="70">
        <v>0</v>
      </c>
      <c r="P332" s="70">
        <v>0</v>
      </c>
      <c r="R332" s="72" t="s">
        <v>91</v>
      </c>
    </row>
    <row r="333" ht="13.9" spans="1:18">
      <c r="A333" s="69">
        <f t="shared" si="12"/>
        <v>329</v>
      </c>
      <c r="B333" s="69" t="s">
        <v>556</v>
      </c>
      <c r="C333" s="69" t="s">
        <v>916</v>
      </c>
      <c r="D333" s="69" t="s">
        <v>917</v>
      </c>
      <c r="E333" s="99" t="s">
        <v>126</v>
      </c>
      <c r="F333" s="110">
        <v>45840</v>
      </c>
      <c r="G333" s="69" t="s">
        <v>574</v>
      </c>
      <c r="H333" s="70" t="s">
        <v>922</v>
      </c>
      <c r="I333" s="70" t="s">
        <v>923</v>
      </c>
      <c r="J333" s="71" t="s">
        <v>109</v>
      </c>
      <c r="K333" s="71">
        <v>1</v>
      </c>
      <c r="L333" s="72">
        <v>1</v>
      </c>
      <c r="M333" s="72">
        <v>110</v>
      </c>
      <c r="N333" s="70">
        <v>110</v>
      </c>
      <c r="O333" s="70">
        <v>0</v>
      </c>
      <c r="P333" s="70">
        <v>0</v>
      </c>
      <c r="R333" s="72" t="s">
        <v>91</v>
      </c>
    </row>
    <row r="334" ht="13.9" spans="1:18">
      <c r="A334" s="69">
        <f t="shared" si="12"/>
        <v>330</v>
      </c>
      <c r="B334" s="69" t="s">
        <v>556</v>
      </c>
      <c r="C334" s="69" t="s">
        <v>924</v>
      </c>
      <c r="D334" s="69" t="s">
        <v>925</v>
      </c>
      <c r="E334" s="99" t="s">
        <v>126</v>
      </c>
      <c r="F334" s="110">
        <v>45856</v>
      </c>
      <c r="G334" s="69" t="s">
        <v>574</v>
      </c>
      <c r="H334" s="70" t="s">
        <v>926</v>
      </c>
      <c r="I334" s="70" t="s">
        <v>927</v>
      </c>
      <c r="J334" s="71" t="s">
        <v>109</v>
      </c>
      <c r="K334" s="71">
        <v>1</v>
      </c>
      <c r="L334" s="72">
        <v>1</v>
      </c>
      <c r="M334" s="72">
        <v>110</v>
      </c>
      <c r="N334" s="70">
        <v>110</v>
      </c>
      <c r="O334" s="70">
        <v>0</v>
      </c>
      <c r="P334" s="70">
        <v>0</v>
      </c>
      <c r="R334" s="72" t="s">
        <v>91</v>
      </c>
    </row>
    <row r="335" ht="13.9" spans="1:18">
      <c r="A335" s="69">
        <f t="shared" si="12"/>
        <v>331</v>
      </c>
      <c r="B335" s="69" t="s">
        <v>556</v>
      </c>
      <c r="C335" s="69" t="s">
        <v>928</v>
      </c>
      <c r="D335" s="69" t="s">
        <v>929</v>
      </c>
      <c r="E335" s="99" t="s">
        <v>126</v>
      </c>
      <c r="F335" s="110">
        <v>45856</v>
      </c>
      <c r="G335" s="69" t="s">
        <v>574</v>
      </c>
      <c r="H335" s="70" t="s">
        <v>930</v>
      </c>
      <c r="I335" s="70" t="s">
        <v>931</v>
      </c>
      <c r="J335" s="71" t="s">
        <v>90</v>
      </c>
      <c r="K335" s="71">
        <v>1</v>
      </c>
      <c r="L335" s="72">
        <v>1</v>
      </c>
      <c r="M335" s="72">
        <v>36</v>
      </c>
      <c r="N335" s="70">
        <v>36</v>
      </c>
      <c r="O335" s="70">
        <v>0</v>
      </c>
      <c r="P335" s="70">
        <v>0</v>
      </c>
      <c r="R335" s="72" t="s">
        <v>91</v>
      </c>
    </row>
    <row r="336" ht="13.9" spans="1:18">
      <c r="A336" s="69">
        <f t="shared" si="12"/>
        <v>332</v>
      </c>
      <c r="B336" s="69" t="s">
        <v>556</v>
      </c>
      <c r="C336" s="69" t="s">
        <v>932</v>
      </c>
      <c r="D336" s="69" t="s">
        <v>925</v>
      </c>
      <c r="E336" s="99" t="s">
        <v>126</v>
      </c>
      <c r="F336" s="110">
        <v>45856</v>
      </c>
      <c r="G336" s="69" t="s">
        <v>574</v>
      </c>
      <c r="H336" s="70" t="s">
        <v>933</v>
      </c>
      <c r="I336" s="72" t="s">
        <v>934</v>
      </c>
      <c r="J336" s="71" t="s">
        <v>109</v>
      </c>
      <c r="K336" s="71">
        <v>1</v>
      </c>
      <c r="L336" s="72">
        <v>1</v>
      </c>
      <c r="M336" s="72">
        <v>90</v>
      </c>
      <c r="N336" s="70">
        <v>90</v>
      </c>
      <c r="O336" s="70">
        <v>0</v>
      </c>
      <c r="P336" s="70">
        <v>0</v>
      </c>
      <c r="R336" s="72" t="s">
        <v>91</v>
      </c>
    </row>
    <row r="337" ht="13.9" spans="1:21">
      <c r="A337" s="69">
        <f t="shared" si="12"/>
        <v>333</v>
      </c>
      <c r="B337" s="69" t="s">
        <v>556</v>
      </c>
      <c r="C337" s="69" t="s">
        <v>935</v>
      </c>
      <c r="D337" s="69" t="s">
        <v>929</v>
      </c>
      <c r="E337" s="99" t="s">
        <v>126</v>
      </c>
      <c r="F337" s="110">
        <v>45856</v>
      </c>
      <c r="G337" s="69" t="s">
        <v>574</v>
      </c>
      <c r="H337" s="70" t="s">
        <v>936</v>
      </c>
      <c r="I337" s="70" t="s">
        <v>937</v>
      </c>
      <c r="J337" s="71" t="s">
        <v>109</v>
      </c>
      <c r="K337" s="71">
        <v>1</v>
      </c>
      <c r="L337" s="72">
        <v>1</v>
      </c>
      <c r="M337" s="72">
        <v>10</v>
      </c>
      <c r="N337" s="70">
        <v>10</v>
      </c>
      <c r="O337" s="70">
        <v>0</v>
      </c>
      <c r="P337" s="70">
        <v>0</v>
      </c>
      <c r="R337" s="72" t="s">
        <v>91</v>
      </c>
    </row>
    <row r="338" ht="13.9" spans="1:21">
      <c r="A338" s="69">
        <f t="shared" si="12"/>
        <v>334</v>
      </c>
      <c r="B338" s="69" t="s">
        <v>692</v>
      </c>
      <c r="C338" s="69" t="s">
        <v>938</v>
      </c>
      <c r="D338" s="69" t="s">
        <v>939</v>
      </c>
      <c r="E338" s="99" t="s">
        <v>126</v>
      </c>
      <c r="F338" s="110">
        <v>45860</v>
      </c>
      <c r="G338" s="69" t="s">
        <v>574</v>
      </c>
      <c r="H338" s="70" t="s">
        <v>940</v>
      </c>
      <c r="I338" s="70" t="s">
        <v>912</v>
      </c>
      <c r="J338" s="71" t="s">
        <v>90</v>
      </c>
      <c r="K338" s="71">
        <v>1</v>
      </c>
      <c r="L338" s="72">
        <v>1</v>
      </c>
      <c r="M338" s="72">
        <v>7</v>
      </c>
      <c r="N338" s="70">
        <v>7</v>
      </c>
      <c r="O338" s="70">
        <v>0</v>
      </c>
      <c r="P338" s="70">
        <v>0</v>
      </c>
      <c r="R338" s="72" t="s">
        <v>91</v>
      </c>
    </row>
    <row r="339" ht="13.9" spans="1:21">
      <c r="A339" s="69">
        <f t="shared" si="12"/>
        <v>335</v>
      </c>
      <c r="B339" s="69" t="s">
        <v>692</v>
      </c>
      <c r="C339" s="69" t="s">
        <v>941</v>
      </c>
      <c r="D339" s="69" t="s">
        <v>942</v>
      </c>
      <c r="E339" s="99" t="s">
        <v>126</v>
      </c>
      <c r="F339" s="110">
        <v>45860</v>
      </c>
      <c r="G339" s="69" t="s">
        <v>574</v>
      </c>
      <c r="H339" s="70" t="s">
        <v>943</v>
      </c>
      <c r="I339" s="70" t="s">
        <v>912</v>
      </c>
      <c r="J339" s="71" t="s">
        <v>90</v>
      </c>
      <c r="K339" s="71">
        <v>1</v>
      </c>
      <c r="L339" s="72">
        <v>1</v>
      </c>
      <c r="M339" s="72">
        <v>10</v>
      </c>
      <c r="N339" s="70">
        <v>10</v>
      </c>
      <c r="O339" s="70">
        <v>0</v>
      </c>
      <c r="P339" s="70">
        <v>0</v>
      </c>
      <c r="R339" s="72" t="s">
        <v>91</v>
      </c>
    </row>
    <row r="340" ht="13.9" spans="1:21">
      <c r="A340" s="69">
        <f t="shared" si="12"/>
        <v>336</v>
      </c>
      <c r="B340" s="69" t="s">
        <v>692</v>
      </c>
      <c r="C340" s="69" t="s">
        <v>944</v>
      </c>
      <c r="D340" s="69" t="s">
        <v>939</v>
      </c>
      <c r="E340" s="99" t="s">
        <v>126</v>
      </c>
      <c r="F340" s="110">
        <v>45860</v>
      </c>
      <c r="G340" s="69" t="s">
        <v>574</v>
      </c>
      <c r="H340" s="70" t="s">
        <v>945</v>
      </c>
      <c r="I340" s="70" t="s">
        <v>912</v>
      </c>
      <c r="J340" s="71" t="s">
        <v>90</v>
      </c>
      <c r="K340" s="71">
        <v>1</v>
      </c>
      <c r="L340" s="72">
        <v>1</v>
      </c>
      <c r="M340" s="72">
        <v>8</v>
      </c>
      <c r="N340" s="70">
        <v>8</v>
      </c>
      <c r="O340" s="70">
        <v>0</v>
      </c>
      <c r="P340" s="70">
        <v>0</v>
      </c>
      <c r="R340" s="72" t="s">
        <v>91</v>
      </c>
    </row>
    <row r="341" ht="13.9" spans="1:21">
      <c r="A341" s="69">
        <f t="shared" si="12"/>
        <v>337</v>
      </c>
      <c r="B341" s="69" t="s">
        <v>692</v>
      </c>
      <c r="C341" s="69" t="s">
        <v>946</v>
      </c>
      <c r="D341" s="69" t="s">
        <v>942</v>
      </c>
      <c r="E341" s="99" t="s">
        <v>126</v>
      </c>
      <c r="F341" s="110">
        <v>45860</v>
      </c>
      <c r="G341" s="69" t="s">
        <v>574</v>
      </c>
      <c r="H341" s="70" t="s">
        <v>947</v>
      </c>
      <c r="I341" s="70" t="s">
        <v>912</v>
      </c>
      <c r="J341" s="71" t="s">
        <v>90</v>
      </c>
      <c r="K341" s="71">
        <v>1</v>
      </c>
      <c r="L341" s="72">
        <v>1</v>
      </c>
      <c r="M341" s="72">
        <v>6</v>
      </c>
      <c r="N341" s="70">
        <v>6</v>
      </c>
      <c r="O341" s="70">
        <v>0</v>
      </c>
      <c r="P341" s="70">
        <v>0</v>
      </c>
      <c r="R341" s="72" t="s">
        <v>91</v>
      </c>
    </row>
    <row r="342" ht="13.9" spans="1:21">
      <c r="A342" s="69">
        <f t="shared" si="12"/>
        <v>338</v>
      </c>
      <c r="B342" s="69" t="s">
        <v>692</v>
      </c>
      <c r="C342" s="69" t="s">
        <v>948</v>
      </c>
      <c r="D342" s="69" t="s">
        <v>939</v>
      </c>
      <c r="E342" s="99" t="s">
        <v>126</v>
      </c>
      <c r="F342" s="110">
        <v>45860</v>
      </c>
      <c r="G342" s="69" t="s">
        <v>574</v>
      </c>
      <c r="H342" s="70" t="s">
        <v>949</v>
      </c>
      <c r="I342" s="70" t="s">
        <v>950</v>
      </c>
      <c r="J342" s="71" t="s">
        <v>109</v>
      </c>
      <c r="K342" s="71">
        <v>1</v>
      </c>
      <c r="L342" s="72">
        <v>1</v>
      </c>
      <c r="M342" s="72">
        <v>20</v>
      </c>
      <c r="N342" s="70">
        <v>20</v>
      </c>
      <c r="O342" s="70">
        <v>0</v>
      </c>
      <c r="P342" s="70">
        <v>0</v>
      </c>
      <c r="R342" s="72" t="s">
        <v>91</v>
      </c>
    </row>
    <row r="343" ht="13.9" spans="1:21">
      <c r="A343" s="69">
        <f t="shared" si="12"/>
        <v>339</v>
      </c>
      <c r="B343" s="69" t="s">
        <v>951</v>
      </c>
      <c r="C343" s="69" t="s">
        <v>329</v>
      </c>
      <c r="D343" s="69" t="s">
        <v>952</v>
      </c>
      <c r="E343" s="99" t="s">
        <v>126</v>
      </c>
      <c r="F343" s="128">
        <v>45863</v>
      </c>
      <c r="G343" s="69" t="s">
        <v>340</v>
      </c>
      <c r="H343" s="70" t="s">
        <v>953</v>
      </c>
      <c r="I343" s="70" t="s">
        <v>559</v>
      </c>
      <c r="J343" s="71" t="s">
        <v>109</v>
      </c>
      <c r="K343" s="71">
        <v>1</v>
      </c>
      <c r="L343" s="72">
        <v>0</v>
      </c>
      <c r="M343" s="72">
        <v>591</v>
      </c>
      <c r="N343" s="70">
        <v>0</v>
      </c>
      <c r="O343" s="70">
        <v>0</v>
      </c>
      <c r="P343" s="70">
        <v>0</v>
      </c>
      <c r="R343" s="102" t="s">
        <v>91</v>
      </c>
    </row>
    <row r="344" ht="13.9" spans="1:21">
      <c r="A344" s="69">
        <f t="shared" si="12"/>
        <v>340</v>
      </c>
      <c r="B344" s="69" t="s">
        <v>692</v>
      </c>
      <c r="C344" s="69" t="s">
        <v>329</v>
      </c>
      <c r="D344" s="69" t="s">
        <v>284</v>
      </c>
      <c r="E344" s="99" t="s">
        <v>126</v>
      </c>
      <c r="F344" s="128">
        <v>45867</v>
      </c>
      <c r="G344" s="69" t="s">
        <v>340</v>
      </c>
      <c r="H344" s="70" t="s">
        <v>954</v>
      </c>
      <c r="I344" s="70" t="s">
        <v>955</v>
      </c>
      <c r="J344" s="71" t="s">
        <v>90</v>
      </c>
      <c r="K344" s="71">
        <v>1</v>
      </c>
      <c r="L344" s="72">
        <v>1</v>
      </c>
      <c r="M344" s="72">
        <v>84</v>
      </c>
      <c r="N344" s="70">
        <v>84</v>
      </c>
      <c r="O344" s="70">
        <v>0</v>
      </c>
      <c r="P344" s="70">
        <v>0</v>
      </c>
      <c r="R344" s="102" t="s">
        <v>91</v>
      </c>
    </row>
    <row r="345" ht="13.9" spans="1:21">
      <c r="A345" s="69">
        <f t="shared" si="12"/>
        <v>341</v>
      </c>
      <c r="B345" s="69" t="s">
        <v>692</v>
      </c>
      <c r="C345" s="69" t="s">
        <v>329</v>
      </c>
      <c r="D345" s="69" t="s">
        <v>284</v>
      </c>
      <c r="E345" s="99" t="s">
        <v>126</v>
      </c>
      <c r="F345" s="128">
        <v>45867</v>
      </c>
      <c r="G345" s="69" t="s">
        <v>340</v>
      </c>
      <c r="H345" s="70" t="s">
        <v>956</v>
      </c>
      <c r="I345" s="70" t="s">
        <v>957</v>
      </c>
      <c r="J345" s="71" t="s">
        <v>109</v>
      </c>
      <c r="K345" s="71">
        <v>1</v>
      </c>
      <c r="L345" s="72">
        <v>0</v>
      </c>
      <c r="M345" s="72">
        <v>1000</v>
      </c>
      <c r="N345" s="70">
        <v>0</v>
      </c>
      <c r="O345" s="70">
        <v>0</v>
      </c>
      <c r="P345" s="70">
        <v>0</v>
      </c>
      <c r="R345" s="102" t="s">
        <v>91</v>
      </c>
    </row>
    <row r="346" ht="13.9" spans="1:21">
      <c r="A346" s="69">
        <f t="shared" si="12"/>
        <v>342</v>
      </c>
      <c r="B346" s="69" t="s">
        <v>692</v>
      </c>
      <c r="C346" s="69" t="s">
        <v>329</v>
      </c>
      <c r="D346" s="69" t="s">
        <v>284</v>
      </c>
      <c r="E346" s="99" t="s">
        <v>126</v>
      </c>
      <c r="F346" s="128">
        <v>45867</v>
      </c>
      <c r="G346" s="69" t="s">
        <v>340</v>
      </c>
      <c r="H346" s="70" t="s">
        <v>958</v>
      </c>
      <c r="I346" s="70" t="s">
        <v>959</v>
      </c>
      <c r="J346" s="71" t="s">
        <v>90</v>
      </c>
      <c r="K346" s="71">
        <v>1</v>
      </c>
      <c r="L346" s="72">
        <v>1</v>
      </c>
      <c r="M346" s="72">
        <v>100</v>
      </c>
      <c r="N346" s="70">
        <v>800</v>
      </c>
      <c r="O346" s="70">
        <v>0</v>
      </c>
      <c r="P346" s="70">
        <v>0</v>
      </c>
      <c r="R346" s="102" t="s">
        <v>91</v>
      </c>
    </row>
    <row r="347" ht="13.9" spans="1:21">
      <c r="A347" s="69">
        <f t="shared" si="12"/>
        <v>343</v>
      </c>
      <c r="B347" s="69" t="s">
        <v>692</v>
      </c>
      <c r="C347" s="69" t="s">
        <v>960</v>
      </c>
      <c r="D347" s="69" t="s">
        <v>961</v>
      </c>
      <c r="E347" s="69" t="s">
        <v>126</v>
      </c>
      <c r="F347" s="107">
        <v>45875</v>
      </c>
      <c r="G347" s="69" t="s">
        <v>962</v>
      </c>
      <c r="H347" s="70" t="s">
        <v>963</v>
      </c>
      <c r="I347" s="70" t="s">
        <v>964</v>
      </c>
      <c r="J347" s="108" t="s">
        <v>90</v>
      </c>
      <c r="K347" s="71">
        <v>1</v>
      </c>
      <c r="L347" s="72">
        <v>1</v>
      </c>
      <c r="M347" s="100">
        <v>39.12</v>
      </c>
      <c r="N347" s="100">
        <v>39.12</v>
      </c>
      <c r="O347" s="70">
        <v>0</v>
      </c>
      <c r="P347" s="70">
        <v>0</v>
      </c>
      <c r="R347" s="72" t="s">
        <v>91</v>
      </c>
    </row>
    <row r="348" ht="13.9" spans="1:21">
      <c r="A348" s="69">
        <f t="shared" si="12"/>
        <v>344</v>
      </c>
      <c r="B348" s="69" t="s">
        <v>692</v>
      </c>
      <c r="C348" s="69" t="s">
        <v>960</v>
      </c>
      <c r="D348" s="69" t="s">
        <v>961</v>
      </c>
      <c r="E348" s="69" t="s">
        <v>126</v>
      </c>
      <c r="F348" s="107">
        <v>45875</v>
      </c>
      <c r="G348" s="69" t="s">
        <v>962</v>
      </c>
      <c r="H348" s="70" t="s">
        <v>965</v>
      </c>
      <c r="I348" s="70" t="s">
        <v>966</v>
      </c>
      <c r="J348" s="108" t="s">
        <v>90</v>
      </c>
      <c r="K348" s="71">
        <v>1</v>
      </c>
      <c r="L348" s="72">
        <v>1</v>
      </c>
      <c r="M348" s="72">
        <v>30.68</v>
      </c>
      <c r="N348" s="70">
        <v>11.02</v>
      </c>
      <c r="O348" s="70">
        <v>0</v>
      </c>
      <c r="P348" s="70">
        <v>0</v>
      </c>
      <c r="R348" s="72" t="s">
        <v>91</v>
      </c>
      <c r="U348" s="74" t="s">
        <v>967</v>
      </c>
    </row>
    <row r="349" ht="27.75" spans="1:21">
      <c r="A349" s="69">
        <f t="shared" si="12"/>
        <v>345</v>
      </c>
      <c r="B349" s="69" t="s">
        <v>692</v>
      </c>
      <c r="C349" s="69" t="s">
        <v>329</v>
      </c>
      <c r="D349" s="69" t="s">
        <v>968</v>
      </c>
      <c r="E349" s="99" t="s">
        <v>126</v>
      </c>
      <c r="F349" s="107">
        <v>45870</v>
      </c>
      <c r="G349" s="69" t="s">
        <v>262</v>
      </c>
      <c r="H349" s="70" t="s">
        <v>969</v>
      </c>
      <c r="I349" s="70" t="s">
        <v>970</v>
      </c>
      <c r="J349" s="108" t="s">
        <v>90</v>
      </c>
      <c r="K349" s="71">
        <v>1</v>
      </c>
      <c r="L349" s="71">
        <v>1</v>
      </c>
      <c r="M349" s="72">
        <v>16</v>
      </c>
      <c r="N349" s="70">
        <v>16</v>
      </c>
      <c r="O349" s="70">
        <v>0</v>
      </c>
      <c r="P349" s="70">
        <v>0</v>
      </c>
      <c r="R349" s="72" t="s">
        <v>91</v>
      </c>
    </row>
    <row r="350" ht="13.9" spans="1:21">
      <c r="A350" s="69">
        <f t="shared" si="12"/>
        <v>346</v>
      </c>
      <c r="B350" s="69" t="s">
        <v>692</v>
      </c>
      <c r="C350" s="69" t="s">
        <v>329</v>
      </c>
      <c r="D350" s="69" t="s">
        <v>548</v>
      </c>
      <c r="E350" s="99" t="s">
        <v>126</v>
      </c>
      <c r="F350" s="107">
        <v>45876</v>
      </c>
      <c r="G350" s="69" t="s">
        <v>272</v>
      </c>
      <c r="H350" s="70" t="s">
        <v>971</v>
      </c>
      <c r="I350" s="70" t="s">
        <v>972</v>
      </c>
      <c r="J350" s="108" t="s">
        <v>90</v>
      </c>
      <c r="K350" s="71">
        <v>1</v>
      </c>
      <c r="L350" s="71">
        <v>1</v>
      </c>
      <c r="M350" s="72">
        <v>5</v>
      </c>
      <c r="N350" s="70">
        <v>5</v>
      </c>
      <c r="O350" s="70">
        <v>0</v>
      </c>
      <c r="P350" s="70">
        <v>0</v>
      </c>
      <c r="R350" s="72" t="s">
        <v>91</v>
      </c>
    </row>
    <row r="351" ht="13.9" spans="1:21">
      <c r="A351" s="69">
        <f t="shared" si="12"/>
        <v>347</v>
      </c>
      <c r="B351" s="69" t="s">
        <v>692</v>
      </c>
      <c r="C351" s="69" t="s">
        <v>329</v>
      </c>
      <c r="D351" s="69" t="s">
        <v>973</v>
      </c>
      <c r="E351" s="99" t="s">
        <v>126</v>
      </c>
      <c r="F351" s="107">
        <v>45876</v>
      </c>
      <c r="G351" s="69" t="s">
        <v>272</v>
      </c>
      <c r="H351" s="70" t="s">
        <v>974</v>
      </c>
      <c r="I351" s="70" t="s">
        <v>975</v>
      </c>
      <c r="J351" s="108" t="s">
        <v>109</v>
      </c>
      <c r="K351" s="71">
        <v>1</v>
      </c>
      <c r="L351" s="71">
        <v>0</v>
      </c>
      <c r="M351" s="72">
        <v>4</v>
      </c>
      <c r="N351" s="70">
        <v>0</v>
      </c>
      <c r="O351" s="70">
        <v>0</v>
      </c>
      <c r="P351" s="70">
        <v>0</v>
      </c>
      <c r="R351" s="72" t="s">
        <v>91</v>
      </c>
      <c r="U351" s="74" t="s">
        <v>976</v>
      </c>
    </row>
    <row r="352" ht="13.9" spans="1:21">
      <c r="A352" s="69">
        <f t="shared" si="12"/>
        <v>348</v>
      </c>
      <c r="B352" s="69" t="s">
        <v>977</v>
      </c>
      <c r="C352" s="69" t="s">
        <v>978</v>
      </c>
      <c r="D352" s="69" t="s">
        <v>979</v>
      </c>
      <c r="E352" s="69" t="s">
        <v>126</v>
      </c>
      <c r="F352" s="107">
        <v>45975</v>
      </c>
      <c r="G352" s="69" t="s">
        <v>962</v>
      </c>
      <c r="H352" s="70" t="s">
        <v>980</v>
      </c>
      <c r="I352" s="70" t="s">
        <v>981</v>
      </c>
      <c r="J352" s="71" t="s">
        <v>109</v>
      </c>
      <c r="K352" s="71">
        <v>1</v>
      </c>
      <c r="L352" s="72">
        <v>0</v>
      </c>
      <c r="M352" s="72">
        <v>0.3</v>
      </c>
      <c r="N352" s="70">
        <v>0</v>
      </c>
      <c r="O352" s="70">
        <v>0</v>
      </c>
      <c r="P352" s="70">
        <v>0</v>
      </c>
      <c r="R352" s="72" t="s">
        <v>91</v>
      </c>
      <c r="U352" s="74" t="s">
        <v>982</v>
      </c>
    </row>
    <row r="353" ht="13.9" spans="1:21">
      <c r="A353" s="69">
        <f t="shared" si="12"/>
        <v>349</v>
      </c>
      <c r="B353" s="69" t="s">
        <v>977</v>
      </c>
      <c r="C353" s="69" t="s">
        <v>978</v>
      </c>
      <c r="D353" s="69" t="s">
        <v>979</v>
      </c>
      <c r="E353" s="69" t="s">
        <v>126</v>
      </c>
      <c r="F353" s="107">
        <v>45975</v>
      </c>
      <c r="G353" s="69" t="s">
        <v>962</v>
      </c>
      <c r="H353" s="70" t="s">
        <v>983</v>
      </c>
      <c r="I353" s="70" t="s">
        <v>984</v>
      </c>
      <c r="J353" s="71" t="s">
        <v>109</v>
      </c>
      <c r="K353" s="71">
        <v>1</v>
      </c>
      <c r="L353" s="72">
        <v>0</v>
      </c>
      <c r="M353" s="72">
        <v>90</v>
      </c>
      <c r="N353" s="70">
        <v>0</v>
      </c>
      <c r="O353" s="70">
        <v>0</v>
      </c>
      <c r="P353" s="70">
        <v>0</v>
      </c>
      <c r="R353" s="72" t="s">
        <v>91</v>
      </c>
      <c r="U353" s="74" t="s">
        <v>781</v>
      </c>
    </row>
    <row r="354" ht="13.9" spans="1:21">
      <c r="A354" s="69">
        <f t="shared" si="12"/>
        <v>350</v>
      </c>
      <c r="B354" s="69" t="s">
        <v>580</v>
      </c>
      <c r="C354" s="69" t="s">
        <v>985</v>
      </c>
      <c r="D354" s="69" t="s">
        <v>961</v>
      </c>
      <c r="E354" s="69" t="s">
        <v>126</v>
      </c>
      <c r="F354" s="107">
        <v>45975</v>
      </c>
      <c r="G354" s="69" t="s">
        <v>962</v>
      </c>
      <c r="H354" s="70" t="s">
        <v>986</v>
      </c>
      <c r="I354" s="70" t="s">
        <v>987</v>
      </c>
      <c r="J354" s="71" t="s">
        <v>90</v>
      </c>
      <c r="K354" s="71">
        <v>1</v>
      </c>
      <c r="L354" s="72">
        <v>1</v>
      </c>
      <c r="M354" s="72">
        <v>40</v>
      </c>
      <c r="N354" s="70">
        <v>0</v>
      </c>
      <c r="O354" s="70">
        <v>0</v>
      </c>
      <c r="P354" s="70">
        <v>0</v>
      </c>
      <c r="R354" s="72" t="s">
        <v>91</v>
      </c>
    </row>
    <row r="355" ht="13.9" spans="1:21">
      <c r="A355" s="69">
        <f t="shared" si="12"/>
        <v>351</v>
      </c>
      <c r="B355" s="69" t="s">
        <v>977</v>
      </c>
      <c r="C355" s="69" t="s">
        <v>988</v>
      </c>
      <c r="D355" s="69" t="s">
        <v>989</v>
      </c>
      <c r="E355" s="69" t="s">
        <v>126</v>
      </c>
      <c r="F355" s="107">
        <v>45978</v>
      </c>
      <c r="G355" s="69" t="s">
        <v>962</v>
      </c>
      <c r="H355" s="70" t="s">
        <v>990</v>
      </c>
      <c r="I355" s="70" t="s">
        <v>991</v>
      </c>
      <c r="J355" s="71" t="s">
        <v>90</v>
      </c>
      <c r="K355" s="71">
        <v>1</v>
      </c>
      <c r="L355" s="72">
        <v>1</v>
      </c>
      <c r="M355" s="72">
        <v>7</v>
      </c>
      <c r="N355" s="70">
        <v>0</v>
      </c>
      <c r="O355" s="70">
        <v>0</v>
      </c>
      <c r="P355" s="70">
        <v>0</v>
      </c>
      <c r="R355" s="72" t="s">
        <v>91</v>
      </c>
    </row>
    <row r="356" ht="13.9" spans="1:21">
      <c r="A356" s="69">
        <f t="shared" si="12"/>
        <v>352</v>
      </c>
      <c r="B356" s="69" t="s">
        <v>580</v>
      </c>
      <c r="C356" s="69" t="s">
        <v>329</v>
      </c>
      <c r="D356" s="69" t="s">
        <v>992</v>
      </c>
      <c r="E356" s="69" t="s">
        <v>126</v>
      </c>
      <c r="F356" s="107">
        <v>45971</v>
      </c>
      <c r="G356" s="69" t="s">
        <v>962</v>
      </c>
      <c r="H356" s="70" t="s">
        <v>993</v>
      </c>
      <c r="I356" s="70" t="s">
        <v>994</v>
      </c>
      <c r="J356" s="71" t="s">
        <v>109</v>
      </c>
      <c r="K356" s="71">
        <v>1</v>
      </c>
      <c r="L356" s="72">
        <v>0</v>
      </c>
      <c r="M356" s="72">
        <v>10.8</v>
      </c>
      <c r="N356" s="70">
        <v>0</v>
      </c>
      <c r="O356" s="70">
        <v>0</v>
      </c>
      <c r="P356" s="70">
        <v>0</v>
      </c>
      <c r="R356" s="72" t="s">
        <v>91</v>
      </c>
      <c r="U356" s="74" t="s">
        <v>995</v>
      </c>
    </row>
    <row r="357" ht="16.15" customHeight="1" spans="1:21">
      <c r="A357" s="69">
        <f t="shared" si="12"/>
        <v>353</v>
      </c>
      <c r="B357" s="69" t="s">
        <v>580</v>
      </c>
      <c r="C357" s="69" t="s">
        <v>329</v>
      </c>
      <c r="D357" s="69" t="s">
        <v>996</v>
      </c>
      <c r="E357" s="69" t="s">
        <v>126</v>
      </c>
      <c r="F357" s="107">
        <v>45971</v>
      </c>
      <c r="G357" s="69" t="s">
        <v>962</v>
      </c>
      <c r="H357" s="70" t="s">
        <v>990</v>
      </c>
      <c r="I357" s="70" t="s">
        <v>991</v>
      </c>
      <c r="J357" s="71" t="s">
        <v>109</v>
      </c>
      <c r="K357" s="71">
        <v>1</v>
      </c>
      <c r="L357" s="72">
        <v>0</v>
      </c>
      <c r="M357" s="72">
        <v>4.84</v>
      </c>
      <c r="N357" s="70">
        <v>0</v>
      </c>
      <c r="O357" s="70">
        <v>0</v>
      </c>
      <c r="P357" s="70">
        <v>0</v>
      </c>
      <c r="R357" s="72" t="s">
        <v>91</v>
      </c>
      <c r="U357" s="74" t="s">
        <v>997</v>
      </c>
    </row>
    <row r="358" ht="16.5" customHeight="1" spans="1:21">
      <c r="A358" s="69">
        <f t="shared" si="12"/>
        <v>354</v>
      </c>
      <c r="B358" s="69" t="s">
        <v>998</v>
      </c>
      <c r="C358" s="69" t="s">
        <v>693</v>
      </c>
      <c r="D358" s="69" t="s">
        <v>237</v>
      </c>
      <c r="E358" s="69" t="s">
        <v>126</v>
      </c>
      <c r="F358" s="69" t="s">
        <v>999</v>
      </c>
      <c r="G358" s="69" t="s">
        <v>239</v>
      </c>
      <c r="H358" s="70" t="s">
        <v>1000</v>
      </c>
      <c r="I358" s="70" t="s">
        <v>1001</v>
      </c>
      <c r="J358" s="71" t="s">
        <v>109</v>
      </c>
      <c r="K358" s="71">
        <v>1</v>
      </c>
      <c r="L358" s="71">
        <v>0</v>
      </c>
      <c r="M358" s="72">
        <v>5</v>
      </c>
      <c r="N358" s="70">
        <f>M358*L358</f>
        <v>0</v>
      </c>
      <c r="O358" s="70">
        <v>0</v>
      </c>
      <c r="P358" s="70">
        <v>0</v>
      </c>
      <c r="R358" s="72" t="s">
        <v>91</v>
      </c>
    </row>
    <row r="359" ht="16.5" customHeight="1" spans="1:21">
      <c r="A359" s="69">
        <f t="shared" si="12"/>
        <v>355</v>
      </c>
      <c r="B359" s="69" t="s">
        <v>998</v>
      </c>
      <c r="C359" s="69" t="s">
        <v>693</v>
      </c>
      <c r="D359" s="69" t="s">
        <v>237</v>
      </c>
      <c r="E359" s="69" t="s">
        <v>126</v>
      </c>
      <c r="F359" s="69" t="s">
        <v>999</v>
      </c>
      <c r="G359" s="69" t="s">
        <v>239</v>
      </c>
      <c r="H359" s="70" t="s">
        <v>1002</v>
      </c>
      <c r="I359" s="70" t="s">
        <v>1003</v>
      </c>
      <c r="J359" s="71" t="s">
        <v>90</v>
      </c>
      <c r="K359" s="71">
        <v>1</v>
      </c>
      <c r="L359" s="71">
        <v>1</v>
      </c>
      <c r="M359" s="72">
        <v>1.5</v>
      </c>
      <c r="N359" s="70">
        <f t="shared" ref="N359:N372" si="13">M359*L359</f>
        <v>1.5</v>
      </c>
      <c r="O359" s="70">
        <v>0</v>
      </c>
      <c r="P359" s="70">
        <v>0</v>
      </c>
      <c r="R359" s="72" t="s">
        <v>91</v>
      </c>
    </row>
    <row r="360" ht="16.5" customHeight="1" spans="1:21">
      <c r="A360" s="69">
        <f t="shared" si="12"/>
        <v>356</v>
      </c>
      <c r="B360" s="69" t="s">
        <v>998</v>
      </c>
      <c r="C360" s="69" t="s">
        <v>693</v>
      </c>
      <c r="D360" s="69" t="s">
        <v>237</v>
      </c>
      <c r="E360" s="69" t="s">
        <v>126</v>
      </c>
      <c r="F360" s="69" t="s">
        <v>999</v>
      </c>
      <c r="G360" s="69" t="s">
        <v>239</v>
      </c>
      <c r="H360" s="70" t="s">
        <v>1004</v>
      </c>
      <c r="I360" s="70" t="s">
        <v>1005</v>
      </c>
      <c r="J360" s="71" t="s">
        <v>90</v>
      </c>
      <c r="K360" s="71">
        <v>1</v>
      </c>
      <c r="L360" s="71">
        <v>1</v>
      </c>
      <c r="M360" s="72">
        <v>10</v>
      </c>
      <c r="N360" s="70">
        <f t="shared" si="13"/>
        <v>10</v>
      </c>
      <c r="O360" s="70">
        <v>0</v>
      </c>
      <c r="P360" s="70">
        <v>0</v>
      </c>
      <c r="R360" s="72" t="s">
        <v>91</v>
      </c>
    </row>
    <row r="361" ht="16.5" customHeight="1" spans="1:21">
      <c r="A361" s="69">
        <f t="shared" si="12"/>
        <v>357</v>
      </c>
      <c r="B361" s="69" t="s">
        <v>998</v>
      </c>
      <c r="C361" s="69" t="s">
        <v>693</v>
      </c>
      <c r="D361" s="69" t="s">
        <v>237</v>
      </c>
      <c r="E361" s="69" t="s">
        <v>126</v>
      </c>
      <c r="F361" s="69" t="s">
        <v>999</v>
      </c>
      <c r="G361" s="69" t="s">
        <v>239</v>
      </c>
      <c r="H361" s="70" t="s">
        <v>1006</v>
      </c>
      <c r="I361" s="70" t="s">
        <v>1007</v>
      </c>
      <c r="J361" s="71" t="s">
        <v>90</v>
      </c>
      <c r="K361" s="71">
        <v>1</v>
      </c>
      <c r="L361" s="71">
        <v>1</v>
      </c>
      <c r="M361" s="72">
        <v>10</v>
      </c>
      <c r="N361" s="70">
        <f t="shared" si="13"/>
        <v>10</v>
      </c>
      <c r="O361" s="70">
        <v>0</v>
      </c>
      <c r="P361" s="70">
        <v>0</v>
      </c>
      <c r="R361" s="72" t="s">
        <v>91</v>
      </c>
    </row>
    <row r="362" ht="16.5" customHeight="1" spans="1:21">
      <c r="A362" s="69">
        <f t="shared" si="12"/>
        <v>358</v>
      </c>
      <c r="B362" s="69" t="s">
        <v>998</v>
      </c>
      <c r="C362" s="69" t="s">
        <v>693</v>
      </c>
      <c r="D362" s="69" t="s">
        <v>237</v>
      </c>
      <c r="E362" s="69" t="s">
        <v>126</v>
      </c>
      <c r="F362" s="69" t="s">
        <v>999</v>
      </c>
      <c r="G362" s="69" t="s">
        <v>239</v>
      </c>
      <c r="H362" s="70" t="s">
        <v>1008</v>
      </c>
      <c r="I362" s="70" t="s">
        <v>1009</v>
      </c>
      <c r="J362" s="71" t="s">
        <v>90</v>
      </c>
      <c r="K362" s="71">
        <v>1</v>
      </c>
      <c r="L362" s="71">
        <v>1</v>
      </c>
      <c r="M362" s="72">
        <v>6.5</v>
      </c>
      <c r="N362" s="70">
        <f t="shared" si="13"/>
        <v>6.5</v>
      </c>
      <c r="O362" s="70">
        <v>0</v>
      </c>
      <c r="P362" s="70">
        <v>0</v>
      </c>
      <c r="R362" s="72" t="s">
        <v>91</v>
      </c>
    </row>
    <row r="363" ht="16.5" customHeight="1" spans="1:21">
      <c r="A363" s="69">
        <f t="shared" si="12"/>
        <v>359</v>
      </c>
      <c r="B363" s="69" t="s">
        <v>998</v>
      </c>
      <c r="C363" s="69" t="s">
        <v>693</v>
      </c>
      <c r="D363" s="69" t="s">
        <v>237</v>
      </c>
      <c r="E363" s="69" t="s">
        <v>126</v>
      </c>
      <c r="F363" s="69" t="s">
        <v>999</v>
      </c>
      <c r="G363" s="69" t="s">
        <v>239</v>
      </c>
      <c r="H363" s="70" t="s">
        <v>1010</v>
      </c>
      <c r="I363" s="70" t="s">
        <v>1011</v>
      </c>
      <c r="J363" s="71" t="s">
        <v>90</v>
      </c>
      <c r="K363" s="71">
        <v>1</v>
      </c>
      <c r="L363" s="71">
        <v>1</v>
      </c>
      <c r="M363" s="72">
        <v>6.5</v>
      </c>
      <c r="N363" s="70">
        <f t="shared" si="13"/>
        <v>6.5</v>
      </c>
      <c r="O363" s="70">
        <v>0</v>
      </c>
      <c r="P363" s="70">
        <v>0</v>
      </c>
      <c r="R363" s="72" t="s">
        <v>91</v>
      </c>
    </row>
    <row r="364" ht="16.5" customHeight="1" spans="1:21">
      <c r="A364" s="69">
        <f t="shared" si="12"/>
        <v>360</v>
      </c>
      <c r="B364" s="69" t="s">
        <v>998</v>
      </c>
      <c r="C364" s="69" t="s">
        <v>693</v>
      </c>
      <c r="D364" s="69" t="s">
        <v>237</v>
      </c>
      <c r="E364" s="69" t="s">
        <v>126</v>
      </c>
      <c r="F364" s="69" t="s">
        <v>999</v>
      </c>
      <c r="G364" s="69" t="s">
        <v>239</v>
      </c>
      <c r="H364" s="70" t="s">
        <v>1012</v>
      </c>
      <c r="I364" s="70" t="s">
        <v>1013</v>
      </c>
      <c r="J364" s="71" t="s">
        <v>109</v>
      </c>
      <c r="K364" s="71">
        <v>1</v>
      </c>
      <c r="L364" s="71">
        <v>0</v>
      </c>
      <c r="M364" s="72">
        <v>10</v>
      </c>
      <c r="N364" s="70">
        <f t="shared" si="13"/>
        <v>0</v>
      </c>
      <c r="O364" s="70">
        <v>0</v>
      </c>
      <c r="P364" s="70">
        <v>0</v>
      </c>
      <c r="R364" s="72" t="s">
        <v>91</v>
      </c>
      <c r="U364" s="74" t="s">
        <v>1014</v>
      </c>
    </row>
    <row r="365" ht="16.5" customHeight="1" spans="1:21">
      <c r="A365" s="69">
        <f t="shared" si="12"/>
        <v>361</v>
      </c>
      <c r="B365" s="69" t="s">
        <v>998</v>
      </c>
      <c r="C365" s="69" t="s">
        <v>693</v>
      </c>
      <c r="D365" s="69" t="s">
        <v>237</v>
      </c>
      <c r="E365" s="69" t="s">
        <v>126</v>
      </c>
      <c r="F365" s="69" t="s">
        <v>999</v>
      </c>
      <c r="G365" s="69" t="s">
        <v>239</v>
      </c>
      <c r="H365" s="70" t="s">
        <v>1015</v>
      </c>
      <c r="I365" s="70" t="s">
        <v>1016</v>
      </c>
      <c r="J365" s="71" t="s">
        <v>109</v>
      </c>
      <c r="K365" s="71">
        <v>1</v>
      </c>
      <c r="L365" s="71">
        <v>0</v>
      </c>
      <c r="M365" s="72">
        <v>16</v>
      </c>
      <c r="N365" s="70">
        <f t="shared" si="13"/>
        <v>0</v>
      </c>
      <c r="O365" s="70">
        <v>0</v>
      </c>
      <c r="P365" s="70">
        <v>0</v>
      </c>
      <c r="R365" s="72" t="s">
        <v>91</v>
      </c>
      <c r="U365" s="74" t="s">
        <v>1014</v>
      </c>
    </row>
    <row r="366" ht="16.5" customHeight="1" spans="1:21">
      <c r="A366" s="69">
        <f t="shared" si="12"/>
        <v>362</v>
      </c>
      <c r="B366" s="69" t="s">
        <v>998</v>
      </c>
      <c r="C366" s="69" t="s">
        <v>693</v>
      </c>
      <c r="D366" s="69" t="s">
        <v>237</v>
      </c>
      <c r="E366" s="69" t="s">
        <v>126</v>
      </c>
      <c r="F366" s="69" t="s">
        <v>999</v>
      </c>
      <c r="G366" s="69" t="s">
        <v>239</v>
      </c>
      <c r="H366" s="70" t="s">
        <v>1017</v>
      </c>
      <c r="I366" s="70" t="s">
        <v>1018</v>
      </c>
      <c r="J366" s="71" t="s">
        <v>109</v>
      </c>
      <c r="K366" s="71">
        <v>1</v>
      </c>
      <c r="L366" s="71">
        <v>0</v>
      </c>
      <c r="M366" s="72">
        <v>20</v>
      </c>
      <c r="N366" s="70">
        <f t="shared" si="13"/>
        <v>0</v>
      </c>
      <c r="O366" s="70">
        <v>0</v>
      </c>
      <c r="P366" s="70">
        <v>0</v>
      </c>
      <c r="R366" s="72" t="s">
        <v>91</v>
      </c>
      <c r="U366" s="74" t="s">
        <v>1014</v>
      </c>
    </row>
    <row r="367" ht="13.9" spans="1:21">
      <c r="A367" s="69">
        <f t="shared" si="12"/>
        <v>363</v>
      </c>
      <c r="B367" s="69" t="s">
        <v>998</v>
      </c>
      <c r="C367" s="69" t="s">
        <v>693</v>
      </c>
      <c r="D367" s="69" t="s">
        <v>237</v>
      </c>
      <c r="E367" s="69" t="s">
        <v>126</v>
      </c>
      <c r="F367" s="69" t="s">
        <v>999</v>
      </c>
      <c r="G367" s="69" t="s">
        <v>239</v>
      </c>
      <c r="H367" s="70" t="s">
        <v>1019</v>
      </c>
      <c r="I367" s="70" t="s">
        <v>1020</v>
      </c>
      <c r="J367" s="71" t="s">
        <v>90</v>
      </c>
      <c r="K367" s="71">
        <v>1</v>
      </c>
      <c r="L367" s="71">
        <v>1</v>
      </c>
      <c r="M367" s="72">
        <v>7</v>
      </c>
      <c r="N367" s="70">
        <f t="shared" si="13"/>
        <v>7</v>
      </c>
      <c r="O367" s="70">
        <v>0</v>
      </c>
      <c r="P367" s="70">
        <v>0</v>
      </c>
      <c r="R367" s="72" t="s">
        <v>91</v>
      </c>
    </row>
    <row r="368" ht="13.9" spans="1:21">
      <c r="A368" s="69">
        <f t="shared" si="12"/>
        <v>364</v>
      </c>
      <c r="B368" s="69" t="s">
        <v>998</v>
      </c>
      <c r="C368" s="69" t="s">
        <v>693</v>
      </c>
      <c r="D368" s="69" t="s">
        <v>237</v>
      </c>
      <c r="E368" s="69" t="s">
        <v>126</v>
      </c>
      <c r="F368" s="69" t="s">
        <v>999</v>
      </c>
      <c r="G368" s="69" t="s">
        <v>239</v>
      </c>
      <c r="H368" s="70" t="s">
        <v>1021</v>
      </c>
      <c r="I368" s="70" t="s">
        <v>1022</v>
      </c>
      <c r="J368" s="71" t="s">
        <v>90</v>
      </c>
      <c r="K368" s="71">
        <v>1</v>
      </c>
      <c r="L368" s="71">
        <v>1</v>
      </c>
      <c r="M368" s="72">
        <v>35</v>
      </c>
      <c r="N368" s="70">
        <f t="shared" si="13"/>
        <v>35</v>
      </c>
      <c r="O368" s="70">
        <v>0</v>
      </c>
      <c r="P368" s="70">
        <v>0</v>
      </c>
      <c r="R368" s="72" t="s">
        <v>91</v>
      </c>
    </row>
    <row r="369" ht="16.5" customHeight="1" spans="1:21">
      <c r="A369" s="69">
        <f t="shared" si="12"/>
        <v>365</v>
      </c>
      <c r="B369" s="69" t="s">
        <v>998</v>
      </c>
      <c r="C369" s="69" t="s">
        <v>693</v>
      </c>
      <c r="D369" s="69" t="s">
        <v>237</v>
      </c>
      <c r="E369" s="69" t="s">
        <v>126</v>
      </c>
      <c r="F369" s="69" t="s">
        <v>999</v>
      </c>
      <c r="G369" s="69" t="s">
        <v>239</v>
      </c>
      <c r="H369" s="70" t="s">
        <v>1023</v>
      </c>
      <c r="I369" s="70" t="s">
        <v>1024</v>
      </c>
      <c r="J369" s="71" t="s">
        <v>90</v>
      </c>
      <c r="K369" s="71">
        <v>1</v>
      </c>
      <c r="L369" s="71">
        <v>1</v>
      </c>
      <c r="M369" s="72">
        <v>15</v>
      </c>
      <c r="N369" s="70">
        <f t="shared" si="13"/>
        <v>15</v>
      </c>
      <c r="O369" s="70">
        <v>0</v>
      </c>
      <c r="P369" s="70">
        <v>0</v>
      </c>
      <c r="R369" s="72" t="s">
        <v>91</v>
      </c>
    </row>
    <row r="370" ht="16.5" customHeight="1" spans="1:21">
      <c r="A370" s="69">
        <f t="shared" si="12"/>
        <v>366</v>
      </c>
      <c r="B370" s="69" t="s">
        <v>998</v>
      </c>
      <c r="C370" s="69" t="s">
        <v>693</v>
      </c>
      <c r="D370" s="69" t="s">
        <v>237</v>
      </c>
      <c r="E370" s="69" t="s">
        <v>126</v>
      </c>
      <c r="F370" s="69" t="s">
        <v>999</v>
      </c>
      <c r="G370" s="69" t="s">
        <v>239</v>
      </c>
      <c r="H370" s="70" t="s">
        <v>1025</v>
      </c>
      <c r="I370" s="70" t="s">
        <v>1026</v>
      </c>
      <c r="J370" s="71" t="s">
        <v>109</v>
      </c>
      <c r="K370" s="71">
        <v>1</v>
      </c>
      <c r="L370" s="71">
        <v>0</v>
      </c>
      <c r="M370" s="72">
        <v>29</v>
      </c>
      <c r="N370" s="70">
        <f t="shared" si="13"/>
        <v>0</v>
      </c>
      <c r="O370" s="70">
        <v>0</v>
      </c>
      <c r="P370" s="70">
        <v>0</v>
      </c>
      <c r="R370" s="72" t="s">
        <v>91</v>
      </c>
      <c r="U370" s="74" t="s">
        <v>1014</v>
      </c>
    </row>
    <row r="371" ht="27.75" spans="1:21">
      <c r="A371" s="69">
        <f t="shared" si="12"/>
        <v>367</v>
      </c>
      <c r="B371" s="69" t="s">
        <v>998</v>
      </c>
      <c r="C371" s="69" t="s">
        <v>693</v>
      </c>
      <c r="D371" s="69" t="s">
        <v>1027</v>
      </c>
      <c r="E371" s="69" t="s">
        <v>126</v>
      </c>
      <c r="F371" s="107">
        <v>45989</v>
      </c>
      <c r="G371" s="69" t="s">
        <v>102</v>
      </c>
      <c r="H371" s="70" t="s">
        <v>1028</v>
      </c>
      <c r="I371" s="70" t="s">
        <v>1029</v>
      </c>
      <c r="J371" s="71" t="s">
        <v>109</v>
      </c>
      <c r="K371" s="71">
        <v>1</v>
      </c>
      <c r="L371" s="72">
        <v>0</v>
      </c>
      <c r="M371" s="72">
        <v>3</v>
      </c>
      <c r="N371" s="70">
        <f t="shared" si="13"/>
        <v>0</v>
      </c>
      <c r="O371" s="70">
        <v>0</v>
      </c>
      <c r="P371" s="70">
        <v>0</v>
      </c>
      <c r="R371" s="72" t="s">
        <v>91</v>
      </c>
    </row>
    <row r="372" ht="13.9" spans="1:21">
      <c r="A372" s="69">
        <f t="shared" si="12"/>
        <v>368</v>
      </c>
      <c r="B372" s="69" t="s">
        <v>998</v>
      </c>
      <c r="C372" s="69" t="s">
        <v>693</v>
      </c>
      <c r="D372" s="69" t="s">
        <v>1027</v>
      </c>
      <c r="E372" s="69" t="s">
        <v>126</v>
      </c>
      <c r="F372" s="107">
        <v>45989</v>
      </c>
      <c r="G372" s="69" t="s">
        <v>102</v>
      </c>
      <c r="H372" s="225" t="s">
        <v>1030</v>
      </c>
      <c r="I372" s="225" t="s">
        <v>1031</v>
      </c>
      <c r="J372" s="71" t="s">
        <v>90</v>
      </c>
      <c r="K372" s="71">
        <v>1</v>
      </c>
      <c r="L372" s="72">
        <v>1</v>
      </c>
      <c r="M372" s="72">
        <v>30</v>
      </c>
      <c r="N372" s="70">
        <f t="shared" si="13"/>
        <v>30</v>
      </c>
      <c r="O372" s="70">
        <v>0</v>
      </c>
      <c r="P372" s="70">
        <v>0</v>
      </c>
      <c r="R372" s="72" t="s">
        <v>91</v>
      </c>
    </row>
    <row r="373" ht="13.9" spans="1:21">
      <c r="A373" s="69">
        <f t="shared" si="12"/>
        <v>369</v>
      </c>
      <c r="B373" s="69" t="s">
        <v>998</v>
      </c>
      <c r="C373" s="69" t="s">
        <v>693</v>
      </c>
      <c r="D373" s="69" t="s">
        <v>1027</v>
      </c>
      <c r="E373" s="69" t="s">
        <v>126</v>
      </c>
      <c r="F373" s="107">
        <v>45989</v>
      </c>
      <c r="G373" s="69" t="s">
        <v>102</v>
      </c>
      <c r="H373" s="70" t="s">
        <v>1032</v>
      </c>
      <c r="I373" s="70" t="s">
        <v>1033</v>
      </c>
      <c r="J373" s="71" t="s">
        <v>109</v>
      </c>
      <c r="K373" s="71">
        <v>1</v>
      </c>
      <c r="L373" s="72">
        <v>0</v>
      </c>
      <c r="M373" s="72">
        <v>6</v>
      </c>
      <c r="O373" s="70">
        <v>0</v>
      </c>
      <c r="P373" s="70">
        <v>0</v>
      </c>
      <c r="R373" s="72" t="s">
        <v>91</v>
      </c>
      <c r="U373" s="74" t="s">
        <v>1034</v>
      </c>
    </row>
    <row r="374" ht="13.9" spans="1:21">
      <c r="A374" s="69">
        <f t="shared" si="12"/>
        <v>370</v>
      </c>
      <c r="B374" s="69" t="s">
        <v>998</v>
      </c>
      <c r="C374" s="69" t="s">
        <v>693</v>
      </c>
      <c r="D374" s="69" t="s">
        <v>1027</v>
      </c>
      <c r="E374" s="69" t="s">
        <v>126</v>
      </c>
      <c r="F374" s="107">
        <v>45989</v>
      </c>
      <c r="G374" s="69" t="s">
        <v>102</v>
      </c>
      <c r="H374" s="70" t="s">
        <v>1032</v>
      </c>
      <c r="I374" s="70" t="s">
        <v>1035</v>
      </c>
      <c r="J374" s="71" t="s">
        <v>90</v>
      </c>
      <c r="K374" s="71">
        <v>1</v>
      </c>
      <c r="L374" s="72">
        <v>1</v>
      </c>
      <c r="M374" s="72">
        <v>10</v>
      </c>
      <c r="N374" s="70">
        <v>10</v>
      </c>
      <c r="O374" s="70">
        <v>0</v>
      </c>
      <c r="P374" s="70">
        <v>0</v>
      </c>
      <c r="R374" s="72" t="s">
        <v>91</v>
      </c>
      <c r="U374" s="74" t="s">
        <v>90</v>
      </c>
    </row>
    <row r="375" ht="13.9" spans="1:21">
      <c r="A375" s="69">
        <f t="shared" si="12"/>
        <v>371</v>
      </c>
      <c r="B375" s="69" t="s">
        <v>998</v>
      </c>
      <c r="C375" s="69" t="s">
        <v>693</v>
      </c>
      <c r="D375" s="69" t="s">
        <v>1027</v>
      </c>
      <c r="E375" s="69" t="s">
        <v>126</v>
      </c>
      <c r="F375" s="107">
        <v>45989</v>
      </c>
      <c r="G375" s="69" t="s">
        <v>102</v>
      </c>
      <c r="H375" s="70" t="s">
        <v>1032</v>
      </c>
      <c r="I375" s="70" t="s">
        <v>1036</v>
      </c>
      <c r="J375" s="71" t="s">
        <v>109</v>
      </c>
      <c r="K375" s="71">
        <v>1</v>
      </c>
      <c r="L375" s="72">
        <v>0</v>
      </c>
      <c r="M375" s="72">
        <v>24</v>
      </c>
      <c r="O375" s="70">
        <v>0</v>
      </c>
      <c r="P375" s="70">
        <v>0</v>
      </c>
      <c r="R375" s="72" t="s">
        <v>91</v>
      </c>
      <c r="U375" s="74" t="s">
        <v>1037</v>
      </c>
    </row>
    <row r="376" ht="13.9" spans="1:21">
      <c r="A376" s="69">
        <f t="shared" si="12"/>
        <v>372</v>
      </c>
      <c r="B376" s="69" t="s">
        <v>998</v>
      </c>
      <c r="C376" s="69" t="s">
        <v>693</v>
      </c>
      <c r="D376" s="69" t="s">
        <v>1027</v>
      </c>
      <c r="E376" s="69" t="s">
        <v>126</v>
      </c>
      <c r="F376" s="107">
        <v>45989</v>
      </c>
      <c r="G376" s="69" t="s">
        <v>102</v>
      </c>
      <c r="H376" s="70" t="s">
        <v>1038</v>
      </c>
      <c r="I376" s="70" t="s">
        <v>1039</v>
      </c>
      <c r="J376" s="71" t="s">
        <v>90</v>
      </c>
      <c r="K376" s="71">
        <v>1</v>
      </c>
      <c r="L376" s="72">
        <v>1</v>
      </c>
      <c r="M376" s="72">
        <v>6.4</v>
      </c>
      <c r="N376" s="70">
        <v>6.4</v>
      </c>
      <c r="O376" s="70">
        <v>0</v>
      </c>
      <c r="P376" s="70">
        <v>0</v>
      </c>
      <c r="R376" s="72" t="s">
        <v>91</v>
      </c>
      <c r="U376" s="74" t="s">
        <v>90</v>
      </c>
    </row>
    <row r="377" ht="13.9" spans="1:21">
      <c r="A377" s="69">
        <f t="shared" si="12"/>
        <v>373</v>
      </c>
      <c r="B377" s="69" t="s">
        <v>998</v>
      </c>
      <c r="C377" s="69" t="s">
        <v>693</v>
      </c>
      <c r="D377" s="69" t="s">
        <v>1027</v>
      </c>
      <c r="E377" s="69" t="s">
        <v>126</v>
      </c>
      <c r="F377" s="107">
        <v>45989</v>
      </c>
      <c r="G377" s="69" t="s">
        <v>102</v>
      </c>
      <c r="H377" s="70" t="s">
        <v>1038</v>
      </c>
      <c r="I377" s="70" t="s">
        <v>1040</v>
      </c>
      <c r="J377" s="71" t="s">
        <v>109</v>
      </c>
      <c r="K377" s="71">
        <v>1</v>
      </c>
      <c r="L377" s="72">
        <v>0</v>
      </c>
      <c r="M377" s="72">
        <v>20</v>
      </c>
      <c r="O377" s="70">
        <v>0</v>
      </c>
      <c r="P377" s="70">
        <v>0</v>
      </c>
      <c r="R377" s="72" t="s">
        <v>91</v>
      </c>
      <c r="U377" s="74" t="s">
        <v>1041</v>
      </c>
    </row>
    <row r="378" ht="13.9" spans="1:21">
      <c r="A378" s="69">
        <f t="shared" si="12"/>
        <v>374</v>
      </c>
      <c r="B378" s="69" t="s">
        <v>998</v>
      </c>
      <c r="C378" s="69" t="s">
        <v>693</v>
      </c>
      <c r="D378" s="69" t="s">
        <v>1027</v>
      </c>
      <c r="E378" s="69" t="s">
        <v>126</v>
      </c>
      <c r="F378" s="107">
        <v>45989</v>
      </c>
      <c r="G378" s="69" t="s">
        <v>102</v>
      </c>
      <c r="H378" s="70" t="s">
        <v>1042</v>
      </c>
      <c r="I378" s="70" t="s">
        <v>1043</v>
      </c>
      <c r="J378" s="71" t="s">
        <v>109</v>
      </c>
      <c r="K378" s="71">
        <v>1</v>
      </c>
      <c r="L378" s="72">
        <v>0</v>
      </c>
      <c r="M378" s="72">
        <v>112</v>
      </c>
      <c r="O378" s="70">
        <v>0</v>
      </c>
      <c r="P378" s="70">
        <v>0</v>
      </c>
      <c r="R378" s="72" t="s">
        <v>91</v>
      </c>
      <c r="U378" s="74" t="s">
        <v>1037</v>
      </c>
    </row>
    <row r="379" ht="13.9" spans="1:21">
      <c r="A379" s="69">
        <f t="shared" si="12"/>
        <v>375</v>
      </c>
      <c r="B379" s="69" t="s">
        <v>998</v>
      </c>
      <c r="C379" s="69" t="s">
        <v>693</v>
      </c>
      <c r="D379" s="69" t="s">
        <v>1027</v>
      </c>
      <c r="E379" s="69" t="s">
        <v>126</v>
      </c>
      <c r="F379" s="107">
        <v>45989</v>
      </c>
      <c r="G379" s="69" t="s">
        <v>102</v>
      </c>
      <c r="H379" s="70" t="s">
        <v>1042</v>
      </c>
      <c r="I379" s="70" t="s">
        <v>1044</v>
      </c>
      <c r="J379" s="71" t="s">
        <v>109</v>
      </c>
      <c r="K379" s="71">
        <v>1</v>
      </c>
      <c r="L379" s="72">
        <v>0</v>
      </c>
      <c r="M379" s="72">
        <v>92</v>
      </c>
      <c r="O379" s="70">
        <v>0</v>
      </c>
      <c r="P379" s="70">
        <v>0</v>
      </c>
      <c r="R379" s="72" t="s">
        <v>91</v>
      </c>
      <c r="U379" s="74" t="s">
        <v>1037</v>
      </c>
    </row>
    <row r="380" ht="13.9" spans="1:21">
      <c r="A380" s="69">
        <f t="shared" si="12"/>
        <v>376</v>
      </c>
      <c r="B380" s="69" t="s">
        <v>998</v>
      </c>
      <c r="C380" s="69" t="s">
        <v>693</v>
      </c>
      <c r="D380" s="69" t="s">
        <v>1027</v>
      </c>
      <c r="E380" s="69" t="s">
        <v>126</v>
      </c>
      <c r="F380" s="107">
        <v>45989</v>
      </c>
      <c r="G380" s="69" t="s">
        <v>102</v>
      </c>
      <c r="H380" s="225" t="s">
        <v>1045</v>
      </c>
      <c r="I380" s="70" t="s">
        <v>1046</v>
      </c>
      <c r="J380" s="71" t="s">
        <v>109</v>
      </c>
      <c r="K380" s="71">
        <v>1</v>
      </c>
      <c r="L380" s="72">
        <v>0</v>
      </c>
      <c r="M380" s="72">
        <v>10.5</v>
      </c>
      <c r="O380" s="70">
        <v>0</v>
      </c>
      <c r="P380" s="70">
        <v>0</v>
      </c>
      <c r="R380" s="72" t="s">
        <v>91</v>
      </c>
      <c r="U380" s="74" t="s">
        <v>1047</v>
      </c>
    </row>
    <row r="381" ht="27.75" spans="1:21">
      <c r="A381" s="69">
        <f t="shared" si="12"/>
        <v>377</v>
      </c>
      <c r="B381" s="69" t="s">
        <v>55</v>
      </c>
      <c r="C381" s="69" t="s">
        <v>693</v>
      </c>
      <c r="D381" s="69" t="s">
        <v>237</v>
      </c>
      <c r="E381" s="69" t="s">
        <v>126</v>
      </c>
      <c r="F381" s="69" t="s">
        <v>1048</v>
      </c>
      <c r="G381" s="69" t="s">
        <v>239</v>
      </c>
      <c r="H381" s="70" t="s">
        <v>1049</v>
      </c>
      <c r="I381" s="70" t="s">
        <v>1050</v>
      </c>
      <c r="J381" s="71" t="s">
        <v>109</v>
      </c>
      <c r="K381" s="71">
        <v>1</v>
      </c>
      <c r="L381" s="71">
        <v>0</v>
      </c>
      <c r="M381" s="72">
        <v>6.3</v>
      </c>
      <c r="N381" s="70">
        <f t="shared" ref="N381:N397" si="14">M381*L381</f>
        <v>0</v>
      </c>
      <c r="O381" s="70">
        <v>0</v>
      </c>
      <c r="P381" s="70">
        <v>0</v>
      </c>
      <c r="Q381" s="72" t="s">
        <v>91</v>
      </c>
    </row>
    <row r="382" ht="13.9" spans="1:21">
      <c r="A382" s="69">
        <f t="shared" si="12"/>
        <v>378</v>
      </c>
      <c r="B382" s="69" t="s">
        <v>55</v>
      </c>
      <c r="C382" s="69" t="s">
        <v>693</v>
      </c>
      <c r="D382" s="69" t="s">
        <v>237</v>
      </c>
      <c r="E382" s="69" t="s">
        <v>126</v>
      </c>
      <c r="F382" s="69" t="s">
        <v>1048</v>
      </c>
      <c r="G382" s="69" t="s">
        <v>239</v>
      </c>
      <c r="H382" s="70" t="s">
        <v>1051</v>
      </c>
      <c r="I382" s="70" t="s">
        <v>1052</v>
      </c>
      <c r="J382" s="71" t="s">
        <v>109</v>
      </c>
      <c r="K382" s="71">
        <v>1</v>
      </c>
      <c r="L382" s="71">
        <v>0</v>
      </c>
      <c r="M382" s="72">
        <v>2</v>
      </c>
      <c r="N382" s="70">
        <f t="shared" si="14"/>
        <v>0</v>
      </c>
      <c r="O382" s="70">
        <v>0</v>
      </c>
      <c r="P382" s="70">
        <v>0</v>
      </c>
      <c r="Q382" s="72" t="s">
        <v>91</v>
      </c>
    </row>
    <row r="383" ht="13.9" spans="1:21">
      <c r="A383" s="69">
        <f t="shared" si="12"/>
        <v>379</v>
      </c>
      <c r="B383" s="69" t="s">
        <v>55</v>
      </c>
      <c r="C383" s="69" t="s">
        <v>693</v>
      </c>
      <c r="D383" s="69" t="s">
        <v>237</v>
      </c>
      <c r="E383" s="69" t="s">
        <v>126</v>
      </c>
      <c r="F383" s="69" t="s">
        <v>1048</v>
      </c>
      <c r="G383" s="69" t="s">
        <v>239</v>
      </c>
      <c r="H383" s="70" t="s">
        <v>1053</v>
      </c>
      <c r="I383" s="70" t="s">
        <v>1054</v>
      </c>
      <c r="J383" s="71" t="s">
        <v>90</v>
      </c>
      <c r="K383" s="71">
        <v>1</v>
      </c>
      <c r="L383" s="71">
        <v>1</v>
      </c>
      <c r="M383" s="72">
        <v>6</v>
      </c>
      <c r="N383" s="70">
        <f t="shared" si="14"/>
        <v>6</v>
      </c>
      <c r="O383" s="70">
        <v>0</v>
      </c>
      <c r="P383" s="70">
        <v>0</v>
      </c>
      <c r="Q383" s="72" t="s">
        <v>91</v>
      </c>
    </row>
    <row r="384" ht="13.9" spans="1:21">
      <c r="A384" s="69">
        <f t="shared" si="12"/>
        <v>380</v>
      </c>
      <c r="B384" s="69" t="s">
        <v>55</v>
      </c>
      <c r="C384" s="69" t="s">
        <v>693</v>
      </c>
      <c r="D384" s="69" t="s">
        <v>237</v>
      </c>
      <c r="E384" s="69" t="s">
        <v>126</v>
      </c>
      <c r="F384" s="69" t="s">
        <v>1048</v>
      </c>
      <c r="G384" s="69" t="s">
        <v>239</v>
      </c>
      <c r="H384" s="70" t="s">
        <v>1055</v>
      </c>
      <c r="I384" s="70" t="s">
        <v>1056</v>
      </c>
      <c r="J384" s="71" t="s">
        <v>109</v>
      </c>
      <c r="K384" s="71">
        <v>1</v>
      </c>
      <c r="L384" s="71">
        <v>0</v>
      </c>
      <c r="M384" s="72">
        <v>6</v>
      </c>
      <c r="N384" s="70">
        <f t="shared" si="14"/>
        <v>0</v>
      </c>
      <c r="O384" s="70">
        <v>0</v>
      </c>
      <c r="P384" s="70">
        <v>0</v>
      </c>
      <c r="Q384" s="72" t="s">
        <v>91</v>
      </c>
    </row>
    <row r="385" ht="13.9" spans="1:21">
      <c r="A385" s="69">
        <f t="shared" si="12"/>
        <v>381</v>
      </c>
      <c r="B385" s="69" t="s">
        <v>55</v>
      </c>
      <c r="C385" s="69" t="s">
        <v>693</v>
      </c>
      <c r="D385" s="69" t="s">
        <v>237</v>
      </c>
      <c r="E385" s="69" t="s">
        <v>126</v>
      </c>
      <c r="F385" s="69" t="s">
        <v>1048</v>
      </c>
      <c r="G385" s="69" t="s">
        <v>239</v>
      </c>
      <c r="H385" s="70" t="s">
        <v>1057</v>
      </c>
      <c r="I385" s="70" t="s">
        <v>1058</v>
      </c>
      <c r="J385" s="71" t="s">
        <v>90</v>
      </c>
      <c r="K385" s="71">
        <v>1</v>
      </c>
      <c r="L385" s="71">
        <v>1</v>
      </c>
      <c r="M385" s="72">
        <v>8</v>
      </c>
      <c r="N385" s="70">
        <f t="shared" si="14"/>
        <v>8</v>
      </c>
      <c r="O385" s="70">
        <v>0</v>
      </c>
      <c r="P385" s="70">
        <v>0</v>
      </c>
      <c r="Q385" s="72" t="s">
        <v>91</v>
      </c>
    </row>
    <row r="386" ht="13.9" spans="1:21">
      <c r="A386" s="69">
        <f t="shared" si="12"/>
        <v>382</v>
      </c>
      <c r="B386" s="69" t="s">
        <v>55</v>
      </c>
      <c r="C386" s="69" t="s">
        <v>693</v>
      </c>
      <c r="D386" s="69" t="s">
        <v>237</v>
      </c>
      <c r="E386" s="69" t="s">
        <v>126</v>
      </c>
      <c r="F386" s="69" t="s">
        <v>1048</v>
      </c>
      <c r="G386" s="69" t="s">
        <v>239</v>
      </c>
      <c r="H386" s="70" t="s">
        <v>1059</v>
      </c>
      <c r="I386" s="70" t="s">
        <v>1060</v>
      </c>
      <c r="J386" s="71" t="s">
        <v>109</v>
      </c>
      <c r="K386" s="71">
        <v>1</v>
      </c>
      <c r="L386" s="71">
        <v>0</v>
      </c>
      <c r="M386" s="72">
        <v>15</v>
      </c>
      <c r="N386" s="70">
        <f t="shared" si="14"/>
        <v>0</v>
      </c>
      <c r="O386" s="70">
        <v>0</v>
      </c>
      <c r="P386" s="70">
        <v>0</v>
      </c>
      <c r="Q386" s="72" t="s">
        <v>91</v>
      </c>
    </row>
    <row r="387" ht="13.9" spans="1:21">
      <c r="A387" s="69">
        <f t="shared" si="12"/>
        <v>383</v>
      </c>
      <c r="B387" s="69" t="s">
        <v>55</v>
      </c>
      <c r="C387" s="69" t="s">
        <v>693</v>
      </c>
      <c r="D387" s="69" t="s">
        <v>237</v>
      </c>
      <c r="E387" s="69" t="s">
        <v>126</v>
      </c>
      <c r="F387" s="69" t="s">
        <v>1048</v>
      </c>
      <c r="G387" s="69" t="s">
        <v>239</v>
      </c>
      <c r="H387" s="70" t="s">
        <v>1061</v>
      </c>
      <c r="I387" s="70" t="s">
        <v>1062</v>
      </c>
      <c r="J387" s="71" t="s">
        <v>90</v>
      </c>
      <c r="K387" s="71">
        <v>1</v>
      </c>
      <c r="L387" s="71">
        <v>1</v>
      </c>
      <c r="M387" s="72">
        <v>6</v>
      </c>
      <c r="N387" s="70">
        <f t="shared" si="14"/>
        <v>6</v>
      </c>
      <c r="O387" s="70">
        <v>0</v>
      </c>
      <c r="P387" s="70">
        <v>0</v>
      </c>
      <c r="Q387" s="72" t="s">
        <v>91</v>
      </c>
    </row>
    <row r="388" ht="27.75" spans="1:21">
      <c r="A388" s="69">
        <f t="shared" si="12"/>
        <v>384</v>
      </c>
      <c r="B388" s="69" t="s">
        <v>55</v>
      </c>
      <c r="C388" s="69" t="s">
        <v>693</v>
      </c>
      <c r="D388" s="69" t="s">
        <v>237</v>
      </c>
      <c r="E388" s="69" t="s">
        <v>126</v>
      </c>
      <c r="F388" s="69" t="s">
        <v>1048</v>
      </c>
      <c r="G388" s="69" t="s">
        <v>239</v>
      </c>
      <c r="H388" s="70" t="s">
        <v>1063</v>
      </c>
      <c r="I388" s="70" t="s">
        <v>254</v>
      </c>
      <c r="J388" s="71" t="s">
        <v>90</v>
      </c>
      <c r="K388" s="71">
        <v>1</v>
      </c>
      <c r="L388" s="71">
        <v>1</v>
      </c>
      <c r="M388" s="72">
        <v>60</v>
      </c>
      <c r="N388" s="70">
        <f t="shared" si="14"/>
        <v>60</v>
      </c>
      <c r="O388" s="70">
        <v>0</v>
      </c>
      <c r="P388" s="70">
        <v>0</v>
      </c>
      <c r="Q388" s="72" t="s">
        <v>91</v>
      </c>
    </row>
    <row r="389" ht="27.75" spans="1:21">
      <c r="A389" s="69">
        <f t="shared" ref="A389:A452" si="15">ROW()-4</f>
        <v>385</v>
      </c>
      <c r="B389" s="69" t="s">
        <v>55</v>
      </c>
      <c r="C389" s="69" t="s">
        <v>693</v>
      </c>
      <c r="D389" s="69" t="s">
        <v>237</v>
      </c>
      <c r="E389" s="69" t="s">
        <v>126</v>
      </c>
      <c r="F389" s="69" t="s">
        <v>1048</v>
      </c>
      <c r="G389" s="69" t="s">
        <v>239</v>
      </c>
      <c r="H389" s="70" t="s">
        <v>1064</v>
      </c>
      <c r="I389" s="70" t="s">
        <v>1065</v>
      </c>
      <c r="J389" s="71" t="s">
        <v>90</v>
      </c>
      <c r="K389" s="71">
        <v>1</v>
      </c>
      <c r="L389" s="71">
        <v>1</v>
      </c>
      <c r="M389" s="72">
        <v>13.5</v>
      </c>
      <c r="N389" s="70">
        <f t="shared" si="14"/>
        <v>13.5</v>
      </c>
      <c r="O389" s="70">
        <v>0</v>
      </c>
      <c r="P389" s="70">
        <v>0</v>
      </c>
      <c r="Q389" s="72" t="s">
        <v>91</v>
      </c>
    </row>
    <row r="390" ht="27.75" spans="1:21">
      <c r="A390" s="69">
        <f t="shared" si="15"/>
        <v>386</v>
      </c>
      <c r="B390" s="69" t="s">
        <v>55</v>
      </c>
      <c r="C390" s="69" t="s">
        <v>693</v>
      </c>
      <c r="D390" s="69" t="s">
        <v>237</v>
      </c>
      <c r="E390" s="69" t="s">
        <v>126</v>
      </c>
      <c r="F390" s="69" t="s">
        <v>1048</v>
      </c>
      <c r="G390" s="69" t="s">
        <v>239</v>
      </c>
      <c r="H390" s="70" t="s">
        <v>1066</v>
      </c>
      <c r="I390" s="70" t="s">
        <v>1067</v>
      </c>
      <c r="J390" s="71" t="s">
        <v>109</v>
      </c>
      <c r="K390" s="71">
        <v>1</v>
      </c>
      <c r="L390" s="71">
        <v>0</v>
      </c>
      <c r="M390" s="72">
        <v>19</v>
      </c>
      <c r="N390" s="70">
        <f t="shared" si="14"/>
        <v>0</v>
      </c>
      <c r="O390" s="70">
        <v>0</v>
      </c>
      <c r="P390" s="70">
        <v>0</v>
      </c>
      <c r="Q390" s="72" t="s">
        <v>91</v>
      </c>
    </row>
    <row r="391" ht="27.75" spans="1:21">
      <c r="A391" s="69">
        <f t="shared" si="15"/>
        <v>387</v>
      </c>
      <c r="B391" s="69" t="s">
        <v>1068</v>
      </c>
      <c r="C391" s="69" t="s">
        <v>693</v>
      </c>
      <c r="D391" s="69" t="s">
        <v>237</v>
      </c>
      <c r="E391" s="69" t="s">
        <v>126</v>
      </c>
      <c r="F391" s="69" t="s">
        <v>1069</v>
      </c>
      <c r="G391" s="69" t="s">
        <v>239</v>
      </c>
      <c r="H391" s="70" t="s">
        <v>1070</v>
      </c>
      <c r="I391" s="70" t="s">
        <v>1071</v>
      </c>
      <c r="J391" s="71" t="s">
        <v>90</v>
      </c>
      <c r="K391" s="71">
        <v>1</v>
      </c>
      <c r="L391" s="72">
        <v>1</v>
      </c>
      <c r="M391" s="72">
        <v>7</v>
      </c>
      <c r="N391" s="70">
        <f t="shared" si="14"/>
        <v>7</v>
      </c>
      <c r="O391" s="70">
        <v>0</v>
      </c>
      <c r="P391" s="70">
        <v>0</v>
      </c>
      <c r="Q391" s="72" t="s">
        <v>91</v>
      </c>
    </row>
    <row r="392" ht="13.9" spans="1:21">
      <c r="A392" s="69">
        <f t="shared" si="15"/>
        <v>388</v>
      </c>
      <c r="B392" s="69" t="s">
        <v>1068</v>
      </c>
      <c r="C392" s="69" t="s">
        <v>693</v>
      </c>
      <c r="D392" s="69" t="s">
        <v>237</v>
      </c>
      <c r="E392" s="69" t="s">
        <v>126</v>
      </c>
      <c r="F392" s="69" t="s">
        <v>1069</v>
      </c>
      <c r="G392" s="69" t="s">
        <v>239</v>
      </c>
      <c r="H392" s="70" t="s">
        <v>843</v>
      </c>
      <c r="I392" s="70" t="s">
        <v>1072</v>
      </c>
      <c r="J392" s="71" t="s">
        <v>109</v>
      </c>
      <c r="K392" s="71">
        <v>1</v>
      </c>
      <c r="L392" s="72">
        <v>0</v>
      </c>
      <c r="M392" s="72">
        <v>20</v>
      </c>
      <c r="N392" s="70">
        <f t="shared" si="14"/>
        <v>0</v>
      </c>
      <c r="O392" s="70">
        <v>0</v>
      </c>
      <c r="P392" s="70">
        <v>0</v>
      </c>
      <c r="Q392" s="72" t="s">
        <v>91</v>
      </c>
    </row>
    <row r="393" ht="27.75" spans="1:21">
      <c r="A393" s="69">
        <f t="shared" si="15"/>
        <v>389</v>
      </c>
      <c r="B393" s="69" t="s">
        <v>1068</v>
      </c>
      <c r="C393" s="69" t="s">
        <v>693</v>
      </c>
      <c r="D393" s="69" t="s">
        <v>237</v>
      </c>
      <c r="E393" s="69" t="s">
        <v>126</v>
      </c>
      <c r="F393" s="69" t="s">
        <v>1069</v>
      </c>
      <c r="G393" s="69" t="s">
        <v>239</v>
      </c>
      <c r="H393" s="70" t="s">
        <v>1073</v>
      </c>
      <c r="I393" s="70" t="s">
        <v>1074</v>
      </c>
      <c r="J393" s="71" t="s">
        <v>90</v>
      </c>
      <c r="K393" s="71">
        <v>1</v>
      </c>
      <c r="L393" s="72">
        <v>1</v>
      </c>
      <c r="M393" s="72">
        <v>5</v>
      </c>
      <c r="N393" s="70">
        <f t="shared" si="14"/>
        <v>5</v>
      </c>
      <c r="O393" s="70">
        <v>0</v>
      </c>
      <c r="P393" s="70">
        <v>0</v>
      </c>
      <c r="Q393" s="72" t="s">
        <v>91</v>
      </c>
    </row>
    <row r="394" ht="27.75" spans="1:21">
      <c r="A394" s="69">
        <f t="shared" si="15"/>
        <v>390</v>
      </c>
      <c r="B394" s="69" t="s">
        <v>1068</v>
      </c>
      <c r="C394" s="69" t="s">
        <v>693</v>
      </c>
      <c r="D394" s="69" t="s">
        <v>237</v>
      </c>
      <c r="E394" s="69" t="s">
        <v>126</v>
      </c>
      <c r="F394" s="69" t="s">
        <v>1069</v>
      </c>
      <c r="G394" s="69" t="s">
        <v>239</v>
      </c>
      <c r="H394" s="70" t="s">
        <v>1075</v>
      </c>
      <c r="I394" s="70" t="s">
        <v>1076</v>
      </c>
      <c r="J394" s="71" t="s">
        <v>109</v>
      </c>
      <c r="K394" s="71">
        <v>1</v>
      </c>
      <c r="L394" s="72">
        <v>0</v>
      </c>
      <c r="M394" s="72">
        <v>23</v>
      </c>
      <c r="N394" s="70">
        <f t="shared" si="14"/>
        <v>0</v>
      </c>
      <c r="O394" s="70">
        <v>0</v>
      </c>
      <c r="P394" s="70">
        <v>0</v>
      </c>
      <c r="Q394" s="72" t="s">
        <v>91</v>
      </c>
    </row>
    <row r="395" ht="27.75" spans="1:21">
      <c r="A395" s="69">
        <f t="shared" si="15"/>
        <v>391</v>
      </c>
      <c r="B395" s="69" t="s">
        <v>1068</v>
      </c>
      <c r="C395" s="69" t="s">
        <v>693</v>
      </c>
      <c r="D395" s="69" t="s">
        <v>237</v>
      </c>
      <c r="E395" s="69" t="s">
        <v>126</v>
      </c>
      <c r="F395" s="69" t="s">
        <v>1069</v>
      </c>
      <c r="G395" s="69" t="s">
        <v>239</v>
      </c>
      <c r="H395" s="70" t="s">
        <v>1077</v>
      </c>
      <c r="I395" s="70" t="s">
        <v>1078</v>
      </c>
      <c r="J395" s="71" t="s">
        <v>109</v>
      </c>
      <c r="K395" s="71">
        <v>1</v>
      </c>
      <c r="L395" s="72">
        <v>0</v>
      </c>
      <c r="M395" s="72">
        <v>40</v>
      </c>
      <c r="N395" s="70">
        <f t="shared" si="14"/>
        <v>0</v>
      </c>
      <c r="O395" s="70">
        <v>0</v>
      </c>
      <c r="P395" s="70">
        <v>0</v>
      </c>
      <c r="Q395" s="72" t="s">
        <v>91</v>
      </c>
    </row>
    <row r="396" ht="13.9" spans="1:21">
      <c r="A396" s="69">
        <f t="shared" si="15"/>
        <v>392</v>
      </c>
      <c r="B396" s="69" t="s">
        <v>1068</v>
      </c>
      <c r="C396" s="69" t="s">
        <v>693</v>
      </c>
      <c r="D396" s="69" t="s">
        <v>237</v>
      </c>
      <c r="E396" s="69" t="s">
        <v>126</v>
      </c>
      <c r="F396" s="69" t="s">
        <v>1069</v>
      </c>
      <c r="G396" s="69" t="s">
        <v>239</v>
      </c>
      <c r="H396" s="70" t="s">
        <v>1079</v>
      </c>
      <c r="I396" s="70" t="s">
        <v>1080</v>
      </c>
      <c r="J396" s="71" t="s">
        <v>109</v>
      </c>
      <c r="K396" s="71">
        <v>1</v>
      </c>
      <c r="L396" s="72">
        <v>0</v>
      </c>
      <c r="M396" s="72">
        <v>30</v>
      </c>
      <c r="N396" s="70">
        <f t="shared" si="14"/>
        <v>0</v>
      </c>
      <c r="O396" s="70">
        <v>0</v>
      </c>
      <c r="P396" s="70">
        <v>0</v>
      </c>
      <c r="Q396" s="72" t="s">
        <v>91</v>
      </c>
    </row>
    <row r="397" ht="13.9" spans="1:21">
      <c r="A397" s="69">
        <f t="shared" si="15"/>
        <v>393</v>
      </c>
      <c r="B397" s="69" t="s">
        <v>1081</v>
      </c>
      <c r="C397" s="69" t="s">
        <v>693</v>
      </c>
      <c r="D397" s="69" t="s">
        <v>1082</v>
      </c>
      <c r="E397" s="69" t="s">
        <v>151</v>
      </c>
      <c r="F397" s="69" t="s">
        <v>1083</v>
      </c>
      <c r="G397" s="69" t="s">
        <v>1084</v>
      </c>
      <c r="H397" s="70" t="s">
        <v>1085</v>
      </c>
      <c r="I397" s="70" t="s">
        <v>1086</v>
      </c>
      <c r="J397" s="71" t="s">
        <v>109</v>
      </c>
      <c r="K397" s="71">
        <v>1</v>
      </c>
      <c r="L397" s="72">
        <v>0</v>
      </c>
      <c r="M397" s="72">
        <v>87.8</v>
      </c>
      <c r="N397" s="70">
        <f t="shared" si="14"/>
        <v>0</v>
      </c>
      <c r="O397" s="70">
        <v>0</v>
      </c>
      <c r="P397" s="70">
        <v>0</v>
      </c>
      <c r="Q397" s="72" t="s">
        <v>91</v>
      </c>
    </row>
    <row r="398" ht="13.9" spans="1:21">
      <c r="A398" s="69">
        <f t="shared" si="15"/>
        <v>394</v>
      </c>
      <c r="B398" s="69" t="s">
        <v>1068</v>
      </c>
      <c r="C398" s="69" t="s">
        <v>1087</v>
      </c>
      <c r="D398" s="69" t="s">
        <v>396</v>
      </c>
      <c r="E398" s="69" t="s">
        <v>126</v>
      </c>
      <c r="F398" s="69" t="s">
        <v>1088</v>
      </c>
      <c r="G398" s="69" t="s">
        <v>272</v>
      </c>
      <c r="H398" s="70" t="s">
        <v>1089</v>
      </c>
      <c r="I398" s="70" t="s">
        <v>1090</v>
      </c>
      <c r="J398" s="71" t="s">
        <v>109</v>
      </c>
      <c r="K398" s="71">
        <v>1</v>
      </c>
      <c r="L398" s="72">
        <v>0</v>
      </c>
      <c r="M398" s="72">
        <v>8</v>
      </c>
      <c r="N398" s="70">
        <v>0</v>
      </c>
      <c r="O398" s="70">
        <v>0</v>
      </c>
      <c r="P398" s="70">
        <v>0</v>
      </c>
      <c r="R398" s="72" t="s">
        <v>91</v>
      </c>
      <c r="U398" s="74" t="s">
        <v>1091</v>
      </c>
    </row>
    <row r="399" ht="13.9" spans="1:21">
      <c r="A399" s="69">
        <f t="shared" si="15"/>
        <v>395</v>
      </c>
      <c r="B399" s="69" t="s">
        <v>1068</v>
      </c>
      <c r="C399" s="69" t="s">
        <v>1087</v>
      </c>
      <c r="D399" s="69" t="s">
        <v>396</v>
      </c>
      <c r="E399" s="69" t="s">
        <v>126</v>
      </c>
      <c r="F399" s="69" t="s">
        <v>1088</v>
      </c>
      <c r="G399" s="69" t="s">
        <v>272</v>
      </c>
      <c r="H399" s="70" t="s">
        <v>1092</v>
      </c>
      <c r="I399" s="70" t="s">
        <v>359</v>
      </c>
      <c r="J399" s="71" t="s">
        <v>109</v>
      </c>
      <c r="K399" s="71">
        <v>1</v>
      </c>
      <c r="L399" s="72">
        <v>0</v>
      </c>
      <c r="M399" s="72">
        <v>90</v>
      </c>
      <c r="N399" s="70">
        <v>0</v>
      </c>
      <c r="O399" s="70">
        <v>0</v>
      </c>
      <c r="P399" s="70">
        <v>0</v>
      </c>
      <c r="R399" s="72" t="s">
        <v>91</v>
      </c>
      <c r="U399" s="74" t="s">
        <v>802</v>
      </c>
    </row>
    <row r="400" ht="13.9" spans="1:21">
      <c r="A400" s="69">
        <f t="shared" si="15"/>
        <v>396</v>
      </c>
      <c r="B400" s="69" t="s">
        <v>1068</v>
      </c>
      <c r="C400" s="69" t="s">
        <v>1093</v>
      </c>
      <c r="D400" s="69" t="s">
        <v>593</v>
      </c>
      <c r="E400" s="69" t="s">
        <v>126</v>
      </c>
      <c r="F400" s="69" t="s">
        <v>1088</v>
      </c>
      <c r="G400" s="69" t="s">
        <v>272</v>
      </c>
      <c r="H400" s="70" t="s">
        <v>1094</v>
      </c>
      <c r="I400" s="70" t="s">
        <v>359</v>
      </c>
      <c r="J400" s="71" t="s">
        <v>109</v>
      </c>
      <c r="K400" s="71">
        <v>1</v>
      </c>
      <c r="L400" s="72">
        <v>0</v>
      </c>
      <c r="M400" s="72">
        <v>90</v>
      </c>
      <c r="N400" s="70">
        <v>0</v>
      </c>
      <c r="O400" s="70">
        <v>0</v>
      </c>
      <c r="P400" s="70">
        <v>0</v>
      </c>
      <c r="R400" s="72" t="s">
        <v>91</v>
      </c>
      <c r="U400" s="74" t="s">
        <v>802</v>
      </c>
    </row>
    <row r="401" ht="13.9" spans="1:21">
      <c r="A401" s="69">
        <f t="shared" si="15"/>
        <v>397</v>
      </c>
      <c r="B401" s="69" t="s">
        <v>1095</v>
      </c>
      <c r="C401" s="69" t="s">
        <v>1096</v>
      </c>
      <c r="D401" s="69" t="s">
        <v>593</v>
      </c>
      <c r="E401" s="69" t="s">
        <v>126</v>
      </c>
      <c r="F401" s="69" t="s">
        <v>1088</v>
      </c>
      <c r="G401" s="69" t="s">
        <v>272</v>
      </c>
      <c r="H401" s="70" t="s">
        <v>1097</v>
      </c>
      <c r="I401" s="70" t="s">
        <v>359</v>
      </c>
      <c r="J401" s="71" t="s">
        <v>109</v>
      </c>
      <c r="K401" s="71">
        <v>1</v>
      </c>
      <c r="L401" s="72">
        <v>0</v>
      </c>
      <c r="M401" s="72">
        <v>26.11</v>
      </c>
      <c r="N401" s="70">
        <v>0</v>
      </c>
      <c r="O401" s="70">
        <v>0</v>
      </c>
      <c r="P401" s="70">
        <v>0</v>
      </c>
      <c r="R401" s="72" t="s">
        <v>91</v>
      </c>
      <c r="U401" s="74" t="s">
        <v>802</v>
      </c>
    </row>
    <row r="402" ht="13.9" spans="1:21">
      <c r="A402" s="69">
        <f t="shared" si="15"/>
        <v>398</v>
      </c>
      <c r="B402" s="69" t="s">
        <v>1095</v>
      </c>
      <c r="C402" s="69" t="s">
        <v>1096</v>
      </c>
      <c r="D402" s="69" t="s">
        <v>593</v>
      </c>
      <c r="E402" s="69" t="s">
        <v>126</v>
      </c>
      <c r="F402" s="69" t="s">
        <v>1088</v>
      </c>
      <c r="G402" s="69" t="s">
        <v>272</v>
      </c>
      <c r="H402" s="70" t="s">
        <v>1098</v>
      </c>
      <c r="I402" s="70" t="s">
        <v>359</v>
      </c>
      <c r="J402" s="71" t="s">
        <v>109</v>
      </c>
      <c r="K402" s="71">
        <v>1</v>
      </c>
      <c r="L402" s="72">
        <v>0</v>
      </c>
      <c r="M402" s="72">
        <v>17.49</v>
      </c>
      <c r="N402" s="70">
        <v>0</v>
      </c>
      <c r="O402" s="70">
        <v>0</v>
      </c>
      <c r="P402" s="70">
        <v>0</v>
      </c>
      <c r="R402" s="72" t="s">
        <v>91</v>
      </c>
      <c r="U402" s="74" t="s">
        <v>802</v>
      </c>
    </row>
    <row r="403" ht="27.75" spans="1:21">
      <c r="A403" s="69">
        <f t="shared" si="15"/>
        <v>399</v>
      </c>
      <c r="B403" s="69" t="s">
        <v>1095</v>
      </c>
      <c r="C403" s="69" t="s">
        <v>1096</v>
      </c>
      <c r="D403" s="69" t="s">
        <v>593</v>
      </c>
      <c r="E403" s="69" t="s">
        <v>126</v>
      </c>
      <c r="F403" s="69" t="s">
        <v>1088</v>
      </c>
      <c r="G403" s="69" t="s">
        <v>272</v>
      </c>
      <c r="H403" s="70" t="s">
        <v>1099</v>
      </c>
      <c r="I403" s="70" t="s">
        <v>1100</v>
      </c>
      <c r="J403" s="71" t="s">
        <v>109</v>
      </c>
      <c r="K403" s="71">
        <v>1</v>
      </c>
      <c r="L403" s="72">
        <v>0</v>
      </c>
      <c r="M403" s="72">
        <v>21.11</v>
      </c>
      <c r="N403" s="70">
        <v>0</v>
      </c>
      <c r="O403" s="70">
        <v>0</v>
      </c>
      <c r="P403" s="70">
        <v>0</v>
      </c>
      <c r="R403" s="72" t="s">
        <v>91</v>
      </c>
      <c r="U403" s="74" t="s">
        <v>1101</v>
      </c>
    </row>
    <row r="404" ht="27.75" spans="1:21">
      <c r="A404" s="69">
        <f t="shared" si="15"/>
        <v>400</v>
      </c>
      <c r="B404" s="69" t="s">
        <v>1095</v>
      </c>
      <c r="C404" s="69" t="s">
        <v>1096</v>
      </c>
      <c r="D404" s="69" t="s">
        <v>593</v>
      </c>
      <c r="E404" s="69" t="s">
        <v>126</v>
      </c>
      <c r="F404" s="69" t="s">
        <v>1088</v>
      </c>
      <c r="G404" s="69" t="s">
        <v>272</v>
      </c>
      <c r="H404" s="70" t="s">
        <v>1099</v>
      </c>
      <c r="I404" s="70" t="s">
        <v>405</v>
      </c>
      <c r="J404" s="71" t="s">
        <v>109</v>
      </c>
      <c r="K404" s="71">
        <v>1</v>
      </c>
      <c r="L404" s="72">
        <v>0</v>
      </c>
      <c r="M404" s="72">
        <v>85</v>
      </c>
      <c r="N404" s="70">
        <v>0</v>
      </c>
      <c r="O404" s="70">
        <v>0</v>
      </c>
      <c r="P404" s="70">
        <v>0</v>
      </c>
      <c r="R404" s="72" t="s">
        <v>91</v>
      </c>
      <c r="U404" s="74" t="s">
        <v>802</v>
      </c>
    </row>
    <row r="405" ht="13.9" spans="1:21">
      <c r="A405" s="69">
        <f t="shared" si="15"/>
        <v>401</v>
      </c>
      <c r="B405" s="69" t="s">
        <v>55</v>
      </c>
      <c r="C405" s="69" t="s">
        <v>693</v>
      </c>
      <c r="D405" s="69" t="s">
        <v>1027</v>
      </c>
      <c r="E405" s="69" t="s">
        <v>126</v>
      </c>
      <c r="F405" s="107">
        <v>45996</v>
      </c>
      <c r="G405" s="69" t="s">
        <v>102</v>
      </c>
      <c r="H405" s="225" t="s">
        <v>1102</v>
      </c>
      <c r="I405" s="225" t="s">
        <v>1031</v>
      </c>
      <c r="J405" s="71" t="s">
        <v>90</v>
      </c>
      <c r="K405" s="71">
        <v>1</v>
      </c>
      <c r="L405" s="72">
        <v>1</v>
      </c>
      <c r="M405" s="72">
        <v>20</v>
      </c>
      <c r="N405" s="70">
        <v>20</v>
      </c>
      <c r="O405" s="70">
        <v>0</v>
      </c>
      <c r="P405" s="70">
        <v>0</v>
      </c>
      <c r="R405" s="72" t="s">
        <v>91</v>
      </c>
      <c r="U405" s="74" t="s">
        <v>1103</v>
      </c>
    </row>
    <row r="406" ht="27.75" spans="1:21">
      <c r="A406" s="69">
        <f t="shared" si="15"/>
        <v>402</v>
      </c>
      <c r="B406" s="69" t="s">
        <v>55</v>
      </c>
      <c r="C406" s="69" t="s">
        <v>693</v>
      </c>
      <c r="D406" s="69" t="s">
        <v>1027</v>
      </c>
      <c r="E406" s="69" t="s">
        <v>126</v>
      </c>
      <c r="F406" s="107">
        <v>45996</v>
      </c>
      <c r="G406" s="69" t="s">
        <v>102</v>
      </c>
      <c r="H406" s="70" t="s">
        <v>1104</v>
      </c>
      <c r="I406" s="70" t="s">
        <v>1105</v>
      </c>
      <c r="J406" s="71" t="s">
        <v>90</v>
      </c>
      <c r="K406" s="71">
        <v>1</v>
      </c>
      <c r="L406" s="72">
        <v>1</v>
      </c>
      <c r="M406" s="72">
        <v>12</v>
      </c>
      <c r="N406" s="70">
        <v>12</v>
      </c>
      <c r="O406" s="70">
        <v>0</v>
      </c>
      <c r="P406" s="70">
        <v>0</v>
      </c>
      <c r="R406" s="72" t="s">
        <v>91</v>
      </c>
      <c r="U406" s="74" t="s">
        <v>1106</v>
      </c>
    </row>
    <row r="407" ht="13.9" spans="1:21">
      <c r="A407" s="69">
        <f t="shared" si="15"/>
        <v>403</v>
      </c>
      <c r="B407" s="69" t="s">
        <v>55</v>
      </c>
      <c r="C407" s="69" t="s">
        <v>693</v>
      </c>
      <c r="D407" s="69" t="s">
        <v>1027</v>
      </c>
      <c r="E407" s="69" t="s">
        <v>126</v>
      </c>
      <c r="F407" s="107">
        <v>45996</v>
      </c>
      <c r="G407" s="69" t="s">
        <v>102</v>
      </c>
      <c r="H407" s="70" t="s">
        <v>1107</v>
      </c>
      <c r="I407" s="70" t="s">
        <v>1108</v>
      </c>
      <c r="J407" s="71" t="s">
        <v>90</v>
      </c>
      <c r="K407" s="71">
        <v>1</v>
      </c>
      <c r="L407" s="72">
        <v>1</v>
      </c>
      <c r="M407" s="72">
        <v>40</v>
      </c>
      <c r="N407" s="70">
        <v>40</v>
      </c>
      <c r="O407" s="70">
        <v>0</v>
      </c>
      <c r="P407" s="70">
        <v>0</v>
      </c>
      <c r="R407" s="72" t="s">
        <v>91</v>
      </c>
      <c r="U407" s="74" t="s">
        <v>1109</v>
      </c>
    </row>
    <row r="408" ht="13.9" spans="1:21">
      <c r="A408" s="69">
        <f t="shared" si="15"/>
        <v>404</v>
      </c>
      <c r="B408" s="69" t="s">
        <v>55</v>
      </c>
      <c r="C408" s="69" t="s">
        <v>693</v>
      </c>
      <c r="D408" s="69" t="s">
        <v>1027</v>
      </c>
      <c r="E408" s="69" t="s">
        <v>126</v>
      </c>
      <c r="F408" s="107">
        <v>45996</v>
      </c>
      <c r="G408" s="69" t="s">
        <v>102</v>
      </c>
      <c r="H408" s="70" t="s">
        <v>1110</v>
      </c>
      <c r="I408" s="70" t="s">
        <v>1111</v>
      </c>
      <c r="J408" s="71" t="s">
        <v>90</v>
      </c>
      <c r="K408" s="71">
        <v>1</v>
      </c>
      <c r="L408" s="72">
        <v>1</v>
      </c>
      <c r="M408" s="72">
        <v>32</v>
      </c>
      <c r="N408" s="70">
        <v>32</v>
      </c>
      <c r="O408" s="70">
        <v>0</v>
      </c>
      <c r="P408" s="70">
        <v>0</v>
      </c>
      <c r="R408" s="72" t="s">
        <v>91</v>
      </c>
      <c r="U408" s="74" t="s">
        <v>1109</v>
      </c>
    </row>
    <row r="409" ht="27.75" spans="1:21">
      <c r="A409" s="69">
        <f t="shared" si="15"/>
        <v>405</v>
      </c>
      <c r="B409" s="69" t="s">
        <v>55</v>
      </c>
      <c r="C409" s="69" t="s">
        <v>693</v>
      </c>
      <c r="D409" s="69" t="s">
        <v>1027</v>
      </c>
      <c r="E409" s="69" t="s">
        <v>126</v>
      </c>
      <c r="F409" s="107">
        <v>45996</v>
      </c>
      <c r="G409" s="69" t="s">
        <v>102</v>
      </c>
      <c r="H409" s="70" t="s">
        <v>1112</v>
      </c>
      <c r="I409" s="70" t="s">
        <v>1113</v>
      </c>
      <c r="J409" s="71" t="s">
        <v>90</v>
      </c>
      <c r="K409" s="71">
        <v>1</v>
      </c>
      <c r="L409" s="72">
        <v>1</v>
      </c>
      <c r="M409" s="72">
        <v>16</v>
      </c>
      <c r="N409" s="70">
        <v>16</v>
      </c>
      <c r="O409" s="70">
        <v>0</v>
      </c>
      <c r="P409" s="70">
        <v>0</v>
      </c>
      <c r="R409" s="72" t="s">
        <v>91</v>
      </c>
      <c r="U409" s="74" t="s">
        <v>733</v>
      </c>
    </row>
    <row r="410" ht="13.9" spans="1:21">
      <c r="A410" s="69">
        <f t="shared" si="15"/>
        <v>406</v>
      </c>
      <c r="B410" s="69" t="s">
        <v>55</v>
      </c>
      <c r="C410" s="69" t="s">
        <v>693</v>
      </c>
      <c r="D410" s="69" t="s">
        <v>1027</v>
      </c>
      <c r="E410" s="69" t="s">
        <v>126</v>
      </c>
      <c r="F410" s="107">
        <v>45996</v>
      </c>
      <c r="G410" s="69" t="s">
        <v>102</v>
      </c>
      <c r="H410" s="70" t="s">
        <v>1114</v>
      </c>
      <c r="I410" s="70" t="s">
        <v>1115</v>
      </c>
      <c r="J410" s="71" t="s">
        <v>109</v>
      </c>
      <c r="K410" s="71">
        <v>1</v>
      </c>
      <c r="L410" s="72">
        <v>0</v>
      </c>
      <c r="M410" s="72">
        <v>10</v>
      </c>
      <c r="N410" s="70">
        <v>0</v>
      </c>
      <c r="O410" s="70">
        <v>0</v>
      </c>
      <c r="P410" s="70">
        <v>0</v>
      </c>
      <c r="R410" s="72" t="s">
        <v>91</v>
      </c>
      <c r="U410" s="74" t="s">
        <v>802</v>
      </c>
    </row>
    <row r="411" ht="13.9" spans="1:21">
      <c r="A411" s="69">
        <f t="shared" si="15"/>
        <v>407</v>
      </c>
      <c r="B411" s="69" t="s">
        <v>55</v>
      </c>
      <c r="C411" s="69" t="s">
        <v>693</v>
      </c>
      <c r="D411" s="69" t="s">
        <v>1027</v>
      </c>
      <c r="E411" s="69" t="s">
        <v>126</v>
      </c>
      <c r="F411" s="107">
        <v>45996</v>
      </c>
      <c r="G411" s="69" t="s">
        <v>102</v>
      </c>
      <c r="H411" s="225" t="s">
        <v>1116</v>
      </c>
      <c r="I411" s="225" t="s">
        <v>1117</v>
      </c>
      <c r="J411" s="71" t="s">
        <v>90</v>
      </c>
      <c r="K411" s="71">
        <v>1</v>
      </c>
      <c r="L411" s="72">
        <v>1</v>
      </c>
      <c r="M411" s="72">
        <v>6</v>
      </c>
      <c r="N411" s="70">
        <v>6</v>
      </c>
      <c r="O411" s="70">
        <v>0</v>
      </c>
      <c r="P411" s="70">
        <v>0</v>
      </c>
      <c r="R411" s="72" t="s">
        <v>91</v>
      </c>
    </row>
    <row r="412" ht="13.9" spans="1:21">
      <c r="A412" s="69">
        <f t="shared" si="15"/>
        <v>408</v>
      </c>
      <c r="B412" s="69" t="s">
        <v>1118</v>
      </c>
      <c r="C412" s="129" t="s">
        <v>329</v>
      </c>
      <c r="D412" s="69" t="s">
        <v>310</v>
      </c>
      <c r="E412" s="69" t="s">
        <v>126</v>
      </c>
      <c r="F412" s="107">
        <v>46016</v>
      </c>
      <c r="G412" s="69" t="s">
        <v>128</v>
      </c>
      <c r="H412" s="70" t="s">
        <v>1119</v>
      </c>
      <c r="I412" s="70" t="s">
        <v>1120</v>
      </c>
      <c r="J412" s="71" t="s">
        <v>90</v>
      </c>
      <c r="K412" s="71">
        <v>1</v>
      </c>
      <c r="L412" s="70">
        <v>1</v>
      </c>
      <c r="M412" s="72">
        <v>20</v>
      </c>
      <c r="N412" s="70">
        <v>0</v>
      </c>
      <c r="O412" s="70">
        <v>0</v>
      </c>
      <c r="P412" s="70">
        <v>0</v>
      </c>
      <c r="R412" s="72" t="s">
        <v>91</v>
      </c>
    </row>
    <row r="413" ht="13.9" spans="1:21">
      <c r="A413" s="69">
        <f t="shared" si="15"/>
        <v>409</v>
      </c>
      <c r="B413" s="69" t="s">
        <v>1118</v>
      </c>
      <c r="C413" s="129" t="s">
        <v>329</v>
      </c>
      <c r="D413" s="69" t="s">
        <v>1121</v>
      </c>
      <c r="E413" s="69" t="s">
        <v>126</v>
      </c>
      <c r="F413" s="107">
        <v>46016</v>
      </c>
      <c r="G413" s="69" t="s">
        <v>128</v>
      </c>
      <c r="H413" s="70" t="s">
        <v>1121</v>
      </c>
      <c r="I413" s="70" t="s">
        <v>1122</v>
      </c>
      <c r="J413" s="71" t="s">
        <v>90</v>
      </c>
      <c r="K413" s="71">
        <v>1</v>
      </c>
      <c r="L413" s="70">
        <v>1</v>
      </c>
      <c r="M413" s="72">
        <v>8</v>
      </c>
      <c r="N413" s="70">
        <v>0</v>
      </c>
      <c r="O413" s="70">
        <v>0</v>
      </c>
      <c r="P413" s="70">
        <v>0</v>
      </c>
      <c r="R413" s="72" t="s">
        <v>91</v>
      </c>
    </row>
    <row r="414" ht="13.9" spans="1:21">
      <c r="A414" s="69">
        <f t="shared" si="15"/>
        <v>410</v>
      </c>
      <c r="B414" s="69" t="s">
        <v>1118</v>
      </c>
      <c r="C414" s="129" t="s">
        <v>329</v>
      </c>
      <c r="D414" s="69" t="s">
        <v>1123</v>
      </c>
      <c r="E414" s="69" t="s">
        <v>126</v>
      </c>
      <c r="F414" s="107">
        <v>46016</v>
      </c>
      <c r="G414" s="69" t="s">
        <v>128</v>
      </c>
      <c r="H414" s="70" t="s">
        <v>1123</v>
      </c>
      <c r="I414" s="70" t="s">
        <v>1124</v>
      </c>
      <c r="J414" s="71" t="s">
        <v>90</v>
      </c>
      <c r="K414" s="71">
        <v>1</v>
      </c>
      <c r="L414" s="70">
        <v>1</v>
      </c>
      <c r="M414" s="72">
        <v>12</v>
      </c>
      <c r="N414" s="70">
        <v>0</v>
      </c>
      <c r="O414" s="70">
        <v>0</v>
      </c>
      <c r="P414" s="70">
        <v>0</v>
      </c>
      <c r="R414" s="72" t="s">
        <v>91</v>
      </c>
    </row>
    <row r="415" ht="13.9" spans="1:21">
      <c r="A415" s="69">
        <f t="shared" si="15"/>
        <v>411</v>
      </c>
      <c r="B415" s="69" t="s">
        <v>55</v>
      </c>
      <c r="C415" s="129" t="s">
        <v>329</v>
      </c>
      <c r="D415" s="69" t="s">
        <v>504</v>
      </c>
      <c r="E415" s="69" t="s">
        <v>126</v>
      </c>
      <c r="F415" s="107">
        <v>46017</v>
      </c>
      <c r="G415" s="69" t="s">
        <v>128</v>
      </c>
      <c r="H415" s="70" t="s">
        <v>1125</v>
      </c>
      <c r="I415" s="70" t="s">
        <v>1126</v>
      </c>
      <c r="J415" s="71" t="s">
        <v>109</v>
      </c>
      <c r="K415" s="71">
        <v>1</v>
      </c>
      <c r="L415" s="72">
        <v>0</v>
      </c>
      <c r="M415" s="72">
        <v>23</v>
      </c>
      <c r="N415" s="70">
        <v>0</v>
      </c>
      <c r="O415" s="70">
        <v>0</v>
      </c>
      <c r="P415" s="70">
        <v>0</v>
      </c>
      <c r="R415" s="72" t="s">
        <v>91</v>
      </c>
      <c r="U415" s="74" t="s">
        <v>1127</v>
      </c>
    </row>
    <row r="416" ht="27.75" spans="1:21">
      <c r="A416" s="69">
        <f t="shared" si="15"/>
        <v>412</v>
      </c>
      <c r="B416" s="69" t="s">
        <v>55</v>
      </c>
      <c r="C416" s="129" t="s">
        <v>329</v>
      </c>
      <c r="D416" s="69" t="s">
        <v>504</v>
      </c>
      <c r="E416" s="69" t="s">
        <v>126</v>
      </c>
      <c r="F416" s="107">
        <v>46017</v>
      </c>
      <c r="G416" s="69" t="s">
        <v>128</v>
      </c>
      <c r="H416" s="70" t="s">
        <v>514</v>
      </c>
      <c r="I416" s="70" t="s">
        <v>515</v>
      </c>
      <c r="J416" s="71" t="s">
        <v>90</v>
      </c>
      <c r="K416" s="71">
        <v>1</v>
      </c>
      <c r="L416" s="70">
        <v>1</v>
      </c>
      <c r="M416" s="72">
        <v>10</v>
      </c>
      <c r="N416" s="70">
        <v>0</v>
      </c>
      <c r="O416" s="70">
        <v>0</v>
      </c>
      <c r="P416" s="70">
        <v>0</v>
      </c>
      <c r="R416" s="72" t="s">
        <v>91</v>
      </c>
    </row>
    <row r="417" ht="13.9" spans="1:21">
      <c r="A417" s="69">
        <f t="shared" si="15"/>
        <v>413</v>
      </c>
      <c r="B417" s="69" t="s">
        <v>55</v>
      </c>
      <c r="C417" s="129" t="s">
        <v>329</v>
      </c>
      <c r="D417" s="69" t="s">
        <v>504</v>
      </c>
      <c r="E417" s="69" t="s">
        <v>126</v>
      </c>
      <c r="F417" s="107">
        <v>46017</v>
      </c>
      <c r="G417" s="69" t="s">
        <v>128</v>
      </c>
      <c r="H417" s="70" t="s">
        <v>1128</v>
      </c>
      <c r="I417" s="70" t="s">
        <v>1129</v>
      </c>
      <c r="J417" s="71" t="s">
        <v>109</v>
      </c>
      <c r="K417" s="71">
        <v>1</v>
      </c>
      <c r="L417" s="72">
        <v>0</v>
      </c>
      <c r="M417" s="72">
        <v>36</v>
      </c>
      <c r="N417" s="70">
        <v>0</v>
      </c>
      <c r="O417" s="70">
        <v>0</v>
      </c>
      <c r="P417" s="70">
        <v>0</v>
      </c>
      <c r="R417" s="72" t="s">
        <v>91</v>
      </c>
      <c r="U417" s="74" t="s">
        <v>1130</v>
      </c>
    </row>
    <row r="418" ht="13.9" spans="1:21">
      <c r="A418" s="69">
        <f t="shared" si="15"/>
        <v>414</v>
      </c>
      <c r="B418" s="69" t="s">
        <v>580</v>
      </c>
      <c r="C418" s="129" t="s">
        <v>329</v>
      </c>
      <c r="D418" s="69" t="s">
        <v>1131</v>
      </c>
      <c r="E418" s="69" t="s">
        <v>126</v>
      </c>
      <c r="F418" s="107">
        <v>46013</v>
      </c>
      <c r="G418" s="69" t="s">
        <v>128</v>
      </c>
      <c r="H418" s="70" t="s">
        <v>1132</v>
      </c>
      <c r="I418" s="70" t="s">
        <v>1133</v>
      </c>
      <c r="J418" s="71" t="s">
        <v>109</v>
      </c>
      <c r="K418" s="71">
        <v>1</v>
      </c>
      <c r="L418" s="72">
        <v>0</v>
      </c>
      <c r="M418" s="72">
        <v>24</v>
      </c>
      <c r="N418" s="70">
        <v>0</v>
      </c>
      <c r="O418" s="70">
        <v>0</v>
      </c>
      <c r="P418" s="70">
        <v>0</v>
      </c>
      <c r="R418" s="72" t="s">
        <v>91</v>
      </c>
      <c r="U418" s="74" t="s">
        <v>495</v>
      </c>
    </row>
    <row r="419" ht="13.9" spans="1:21">
      <c r="A419" s="69">
        <f t="shared" si="15"/>
        <v>415</v>
      </c>
      <c r="B419" s="69" t="s">
        <v>580</v>
      </c>
      <c r="C419" s="129" t="s">
        <v>329</v>
      </c>
      <c r="D419" s="69" t="s">
        <v>1131</v>
      </c>
      <c r="E419" s="69" t="s">
        <v>126</v>
      </c>
      <c r="F419" s="107">
        <v>46013</v>
      </c>
      <c r="G419" s="69" t="s">
        <v>128</v>
      </c>
      <c r="H419" s="70" t="s">
        <v>1134</v>
      </c>
      <c r="I419" s="70" t="s">
        <v>1033</v>
      </c>
      <c r="J419" s="71" t="s">
        <v>109</v>
      </c>
      <c r="K419" s="71">
        <v>1</v>
      </c>
      <c r="L419" s="72">
        <v>0</v>
      </c>
      <c r="M419" s="72">
        <v>20</v>
      </c>
      <c r="N419" s="70">
        <v>0</v>
      </c>
      <c r="O419" s="70">
        <v>0</v>
      </c>
      <c r="P419" s="70">
        <v>0</v>
      </c>
      <c r="R419" s="72" t="s">
        <v>91</v>
      </c>
      <c r="U419" s="74" t="s">
        <v>495</v>
      </c>
    </row>
    <row r="420" ht="13.9" spans="1:21">
      <c r="A420" s="69">
        <f t="shared" si="15"/>
        <v>416</v>
      </c>
      <c r="B420" s="69" t="s">
        <v>1068</v>
      </c>
      <c r="C420" s="69" t="s">
        <v>693</v>
      </c>
      <c r="D420" s="69" t="s">
        <v>1027</v>
      </c>
      <c r="E420" s="69" t="s">
        <v>126</v>
      </c>
      <c r="F420" s="107">
        <v>46004</v>
      </c>
      <c r="G420" s="69" t="s">
        <v>102</v>
      </c>
      <c r="H420" s="70" t="s">
        <v>1135</v>
      </c>
      <c r="I420" s="70" t="s">
        <v>1136</v>
      </c>
      <c r="J420" s="71" t="s">
        <v>109</v>
      </c>
      <c r="K420" s="71">
        <v>1</v>
      </c>
      <c r="L420" s="72">
        <v>0</v>
      </c>
      <c r="M420" s="72">
        <v>46</v>
      </c>
      <c r="N420" s="70">
        <v>0</v>
      </c>
      <c r="O420" s="70">
        <v>0</v>
      </c>
      <c r="P420" s="70">
        <v>0</v>
      </c>
      <c r="R420" s="72" t="s">
        <v>91</v>
      </c>
      <c r="U420" s="74" t="s">
        <v>495</v>
      </c>
    </row>
    <row r="421" ht="13.9" spans="1:21">
      <c r="A421" s="69">
        <f t="shared" si="15"/>
        <v>417</v>
      </c>
      <c r="B421" s="69" t="s">
        <v>1068</v>
      </c>
      <c r="C421" s="69" t="s">
        <v>693</v>
      </c>
      <c r="D421" s="69" t="s">
        <v>1027</v>
      </c>
      <c r="E421" s="69" t="s">
        <v>126</v>
      </c>
      <c r="F421" s="107">
        <v>46004</v>
      </c>
      <c r="G421" s="69" t="s">
        <v>102</v>
      </c>
      <c r="H421" s="70" t="s">
        <v>1137</v>
      </c>
      <c r="I421" s="70" t="s">
        <v>1138</v>
      </c>
      <c r="J421" s="71" t="s">
        <v>109</v>
      </c>
      <c r="K421" s="71">
        <v>1</v>
      </c>
      <c r="L421" s="72">
        <v>0</v>
      </c>
      <c r="M421" s="72">
        <v>334</v>
      </c>
      <c r="N421" s="70">
        <v>0</v>
      </c>
      <c r="O421" s="70">
        <v>0</v>
      </c>
      <c r="P421" s="70">
        <v>0</v>
      </c>
      <c r="R421" s="72" t="s">
        <v>91</v>
      </c>
      <c r="U421" s="74" t="s">
        <v>495</v>
      </c>
    </row>
    <row r="422" ht="27.75" spans="1:21">
      <c r="A422" s="69">
        <f t="shared" si="15"/>
        <v>418</v>
      </c>
      <c r="B422" s="69" t="s">
        <v>1068</v>
      </c>
      <c r="C422" s="69" t="s">
        <v>693</v>
      </c>
      <c r="D422" s="69" t="s">
        <v>1027</v>
      </c>
      <c r="E422" s="69" t="s">
        <v>126</v>
      </c>
      <c r="F422" s="107">
        <v>46004</v>
      </c>
      <c r="G422" s="69" t="s">
        <v>102</v>
      </c>
      <c r="H422" s="70" t="s">
        <v>1139</v>
      </c>
      <c r="I422" s="70" t="s">
        <v>1140</v>
      </c>
      <c r="J422" s="71" t="s">
        <v>109</v>
      </c>
      <c r="K422" s="71">
        <v>1</v>
      </c>
      <c r="L422" s="72">
        <v>0</v>
      </c>
      <c r="M422" s="72">
        <v>160</v>
      </c>
      <c r="N422" s="70">
        <v>0</v>
      </c>
      <c r="O422" s="70">
        <v>0</v>
      </c>
      <c r="P422" s="70">
        <v>0</v>
      </c>
      <c r="R422" s="72" t="s">
        <v>91</v>
      </c>
      <c r="U422" s="74" t="s">
        <v>495</v>
      </c>
    </row>
    <row r="423" ht="13.9" spans="1:21">
      <c r="A423" s="69">
        <f t="shared" si="15"/>
        <v>419</v>
      </c>
      <c r="B423" s="69" t="s">
        <v>1068</v>
      </c>
      <c r="C423" s="69" t="s">
        <v>693</v>
      </c>
      <c r="D423" s="69" t="s">
        <v>1027</v>
      </c>
      <c r="E423" s="69" t="s">
        <v>126</v>
      </c>
      <c r="F423" s="107">
        <v>46004</v>
      </c>
      <c r="G423" s="69" t="s">
        <v>102</v>
      </c>
      <c r="H423" s="70" t="s">
        <v>1141</v>
      </c>
      <c r="I423" s="70" t="s">
        <v>1142</v>
      </c>
      <c r="J423" s="71" t="s">
        <v>109</v>
      </c>
      <c r="K423" s="71">
        <v>1</v>
      </c>
      <c r="L423" s="72">
        <v>0</v>
      </c>
      <c r="M423" s="72">
        <v>76</v>
      </c>
      <c r="N423" s="70">
        <v>0</v>
      </c>
      <c r="O423" s="70">
        <v>0</v>
      </c>
      <c r="P423" s="70">
        <v>0</v>
      </c>
      <c r="R423" s="72" t="s">
        <v>91</v>
      </c>
      <c r="U423" s="74" t="s">
        <v>495</v>
      </c>
    </row>
    <row r="424" ht="13.9" spans="1:21">
      <c r="A424" s="69">
        <f t="shared" si="15"/>
        <v>420</v>
      </c>
      <c r="B424" s="69" t="s">
        <v>1068</v>
      </c>
      <c r="C424" s="69" t="s">
        <v>693</v>
      </c>
      <c r="D424" s="69" t="s">
        <v>1027</v>
      </c>
      <c r="E424" s="69" t="s">
        <v>126</v>
      </c>
      <c r="F424" s="107">
        <v>46004</v>
      </c>
      <c r="G424" s="69" t="s">
        <v>102</v>
      </c>
      <c r="H424" s="70" t="s">
        <v>1143</v>
      </c>
      <c r="I424" s="70" t="s">
        <v>1144</v>
      </c>
      <c r="J424" s="71" t="s">
        <v>109</v>
      </c>
      <c r="K424" s="71">
        <v>1</v>
      </c>
      <c r="L424" s="72">
        <v>0</v>
      </c>
      <c r="M424" s="72">
        <v>20</v>
      </c>
      <c r="N424" s="70">
        <v>0</v>
      </c>
      <c r="O424" s="70">
        <v>0</v>
      </c>
      <c r="P424" s="70">
        <v>0</v>
      </c>
      <c r="R424" s="72" t="s">
        <v>91</v>
      </c>
      <c r="U424" s="74" t="s">
        <v>495</v>
      </c>
    </row>
    <row r="425" ht="13.9" spans="1:21">
      <c r="A425" s="69">
        <f t="shared" si="15"/>
        <v>421</v>
      </c>
      <c r="B425" s="69" t="s">
        <v>1068</v>
      </c>
      <c r="C425" s="69" t="s">
        <v>693</v>
      </c>
      <c r="D425" s="69" t="s">
        <v>1027</v>
      </c>
      <c r="E425" s="69" t="s">
        <v>126</v>
      </c>
      <c r="F425" s="107">
        <v>46004</v>
      </c>
      <c r="G425" s="69" t="s">
        <v>102</v>
      </c>
      <c r="H425" s="70" t="s">
        <v>1145</v>
      </c>
      <c r="I425" s="70" t="s">
        <v>1146</v>
      </c>
      <c r="J425" s="71" t="s">
        <v>109</v>
      </c>
      <c r="K425" s="71">
        <v>1</v>
      </c>
      <c r="L425" s="72">
        <v>0</v>
      </c>
      <c r="M425" s="72">
        <v>30</v>
      </c>
      <c r="N425" s="70">
        <v>0</v>
      </c>
      <c r="O425" s="70">
        <v>0</v>
      </c>
      <c r="P425" s="70">
        <v>0</v>
      </c>
      <c r="R425" s="72" t="s">
        <v>91</v>
      </c>
      <c r="U425" s="74" t="s">
        <v>495</v>
      </c>
    </row>
    <row r="426" ht="13.9" spans="1:21">
      <c r="A426" s="69">
        <f t="shared" si="15"/>
        <v>422</v>
      </c>
      <c r="B426" s="69" t="s">
        <v>1068</v>
      </c>
      <c r="C426" s="69" t="s">
        <v>693</v>
      </c>
      <c r="D426" s="69" t="s">
        <v>1027</v>
      </c>
      <c r="E426" s="69" t="s">
        <v>126</v>
      </c>
      <c r="F426" s="107">
        <v>46004</v>
      </c>
      <c r="G426" s="69" t="s">
        <v>102</v>
      </c>
      <c r="H426" s="70" t="s">
        <v>1147</v>
      </c>
      <c r="I426" s="70" t="s">
        <v>1148</v>
      </c>
      <c r="J426" s="71" t="s">
        <v>109</v>
      </c>
      <c r="K426" s="71">
        <v>1</v>
      </c>
      <c r="L426" s="72">
        <v>0</v>
      </c>
      <c r="M426" s="72">
        <v>162</v>
      </c>
      <c r="N426" s="70">
        <v>0</v>
      </c>
      <c r="O426" s="70">
        <v>0</v>
      </c>
      <c r="P426" s="70">
        <v>0</v>
      </c>
      <c r="R426" s="72" t="s">
        <v>91</v>
      </c>
      <c r="U426" s="74" t="s">
        <v>1149</v>
      </c>
    </row>
    <row r="427" ht="13.9" spans="1:21">
      <c r="A427" s="69">
        <f t="shared" si="15"/>
        <v>423</v>
      </c>
      <c r="B427" s="69" t="s">
        <v>1068</v>
      </c>
      <c r="C427" s="69" t="s">
        <v>693</v>
      </c>
      <c r="D427" s="69" t="s">
        <v>1027</v>
      </c>
      <c r="E427" s="69" t="s">
        <v>126</v>
      </c>
      <c r="F427" s="107">
        <v>46004</v>
      </c>
      <c r="G427" s="69" t="s">
        <v>102</v>
      </c>
      <c r="H427" s="70" t="s">
        <v>812</v>
      </c>
      <c r="I427" s="70" t="s">
        <v>813</v>
      </c>
      <c r="J427" s="71" t="s">
        <v>109</v>
      </c>
      <c r="K427" s="71">
        <v>1</v>
      </c>
      <c r="L427" s="72">
        <v>0</v>
      </c>
      <c r="M427" s="72">
        <v>6</v>
      </c>
      <c r="N427" s="70">
        <v>0</v>
      </c>
      <c r="O427" s="70">
        <v>0</v>
      </c>
      <c r="P427" s="70">
        <v>0</v>
      </c>
      <c r="R427" s="72" t="s">
        <v>91</v>
      </c>
      <c r="U427" s="74" t="s">
        <v>1150</v>
      </c>
    </row>
    <row r="428" ht="13.9" spans="1:21">
      <c r="A428" s="69">
        <f t="shared" si="15"/>
        <v>424</v>
      </c>
      <c r="B428" s="69" t="s">
        <v>1068</v>
      </c>
      <c r="C428" s="69" t="s">
        <v>693</v>
      </c>
      <c r="D428" s="69" t="s">
        <v>1027</v>
      </c>
      <c r="E428" s="69" t="s">
        <v>126</v>
      </c>
      <c r="F428" s="107">
        <v>46004</v>
      </c>
      <c r="G428" s="69" t="s">
        <v>102</v>
      </c>
      <c r="H428" s="225" t="s">
        <v>1151</v>
      </c>
      <c r="I428" s="225" t="s">
        <v>1152</v>
      </c>
      <c r="J428" s="71" t="s">
        <v>109</v>
      </c>
      <c r="K428" s="71">
        <v>1</v>
      </c>
      <c r="L428" s="72">
        <v>0</v>
      </c>
      <c r="M428" s="72">
        <v>8.8</v>
      </c>
      <c r="N428" s="70">
        <v>0</v>
      </c>
      <c r="O428" s="70">
        <v>0</v>
      </c>
      <c r="P428" s="70">
        <v>0</v>
      </c>
      <c r="R428" s="72" t="s">
        <v>91</v>
      </c>
    </row>
    <row r="429" ht="13.9" spans="1:21">
      <c r="A429" s="69">
        <f t="shared" si="15"/>
        <v>425</v>
      </c>
      <c r="B429" s="69" t="s">
        <v>556</v>
      </c>
      <c r="C429" s="69" t="s">
        <v>693</v>
      </c>
      <c r="D429" s="69" t="s">
        <v>1027</v>
      </c>
      <c r="E429" s="69" t="s">
        <v>126</v>
      </c>
      <c r="F429" s="107">
        <v>46013</v>
      </c>
      <c r="G429" s="69" t="s">
        <v>102</v>
      </c>
      <c r="H429" s="225" t="s">
        <v>1153</v>
      </c>
      <c r="I429" s="225" t="s">
        <v>1154</v>
      </c>
      <c r="J429" s="71" t="s">
        <v>109</v>
      </c>
      <c r="K429" s="71">
        <v>1</v>
      </c>
      <c r="L429" s="72">
        <v>0</v>
      </c>
      <c r="M429" s="72">
        <v>4</v>
      </c>
      <c r="N429" s="70">
        <v>0</v>
      </c>
      <c r="O429" s="70">
        <v>0</v>
      </c>
      <c r="P429" s="70">
        <v>0</v>
      </c>
      <c r="R429" s="72" t="s">
        <v>91</v>
      </c>
    </row>
    <row r="430" ht="13.9" spans="1:21">
      <c r="A430" s="69">
        <f t="shared" si="15"/>
        <v>426</v>
      </c>
      <c r="B430" s="69" t="s">
        <v>556</v>
      </c>
      <c r="C430" s="69" t="s">
        <v>693</v>
      </c>
      <c r="D430" s="69" t="s">
        <v>1027</v>
      </c>
      <c r="E430" s="69" t="s">
        <v>126</v>
      </c>
      <c r="F430" s="107">
        <v>46013</v>
      </c>
      <c r="G430" s="69" t="s">
        <v>102</v>
      </c>
      <c r="H430" s="70" t="s">
        <v>1155</v>
      </c>
      <c r="I430" s="70" t="s">
        <v>1156</v>
      </c>
      <c r="J430" s="71" t="s">
        <v>109</v>
      </c>
      <c r="K430" s="71">
        <v>1</v>
      </c>
      <c r="L430" s="72">
        <v>0</v>
      </c>
      <c r="M430" s="72">
        <v>8</v>
      </c>
      <c r="N430" s="70">
        <v>0</v>
      </c>
      <c r="O430" s="70">
        <v>0</v>
      </c>
      <c r="P430" s="70">
        <v>0</v>
      </c>
      <c r="R430" s="72" t="s">
        <v>91</v>
      </c>
      <c r="U430" s="74" t="s">
        <v>1157</v>
      </c>
    </row>
    <row r="431" ht="13.9" spans="1:21">
      <c r="A431" s="69">
        <f t="shared" si="15"/>
        <v>427</v>
      </c>
      <c r="B431" s="69" t="s">
        <v>556</v>
      </c>
      <c r="C431" s="69" t="s">
        <v>693</v>
      </c>
      <c r="D431" s="69" t="s">
        <v>1027</v>
      </c>
      <c r="E431" s="69" t="s">
        <v>126</v>
      </c>
      <c r="F431" s="107">
        <v>46013</v>
      </c>
      <c r="G431" s="69" t="s">
        <v>102</v>
      </c>
      <c r="H431" s="70" t="s">
        <v>1158</v>
      </c>
      <c r="I431" s="70" t="s">
        <v>1159</v>
      </c>
      <c r="J431" s="71" t="s">
        <v>109</v>
      </c>
      <c r="K431" s="71">
        <v>1</v>
      </c>
      <c r="L431" s="72">
        <v>0</v>
      </c>
      <c r="M431" s="72">
        <v>11</v>
      </c>
      <c r="N431" s="70">
        <v>0</v>
      </c>
      <c r="O431" s="70">
        <v>0</v>
      </c>
      <c r="P431" s="70">
        <v>0</v>
      </c>
      <c r="R431" s="72" t="s">
        <v>91</v>
      </c>
      <c r="U431" s="74" t="s">
        <v>495</v>
      </c>
    </row>
    <row r="432" ht="13.9" spans="1:21">
      <c r="A432" s="69">
        <f t="shared" si="15"/>
        <v>428</v>
      </c>
      <c r="B432" s="69" t="s">
        <v>1118</v>
      </c>
      <c r="C432" s="69" t="s">
        <v>693</v>
      </c>
      <c r="D432" s="69" t="s">
        <v>1027</v>
      </c>
      <c r="E432" s="69" t="s">
        <v>126</v>
      </c>
      <c r="F432" s="107">
        <v>46018</v>
      </c>
      <c r="G432" s="69" t="s">
        <v>102</v>
      </c>
      <c r="H432" s="70" t="s">
        <v>1160</v>
      </c>
      <c r="I432" s="70" t="s">
        <v>1161</v>
      </c>
      <c r="J432" s="71" t="s">
        <v>90</v>
      </c>
      <c r="K432" s="71">
        <v>1</v>
      </c>
      <c r="L432" s="72">
        <v>0</v>
      </c>
      <c r="M432" s="72">
        <v>52</v>
      </c>
      <c r="N432" s="72">
        <v>52</v>
      </c>
      <c r="O432" s="70">
        <v>0</v>
      </c>
      <c r="P432" s="70">
        <v>0</v>
      </c>
      <c r="R432" s="72" t="s">
        <v>91</v>
      </c>
    </row>
    <row r="433" ht="13.9" spans="1:21">
      <c r="A433" s="69">
        <f t="shared" si="15"/>
        <v>429</v>
      </c>
      <c r="B433" s="69" t="s">
        <v>1118</v>
      </c>
      <c r="C433" s="69" t="s">
        <v>693</v>
      </c>
      <c r="D433" s="69" t="s">
        <v>1027</v>
      </c>
      <c r="E433" s="69" t="s">
        <v>126</v>
      </c>
      <c r="F433" s="107">
        <v>46018</v>
      </c>
      <c r="G433" s="69" t="s">
        <v>102</v>
      </c>
      <c r="H433" s="70" t="s">
        <v>1162</v>
      </c>
      <c r="I433" s="70" t="s">
        <v>1163</v>
      </c>
      <c r="J433" s="71" t="s">
        <v>109</v>
      </c>
      <c r="K433" s="71">
        <v>1</v>
      </c>
      <c r="L433" s="72">
        <v>0</v>
      </c>
      <c r="M433" s="72">
        <v>42</v>
      </c>
      <c r="N433" s="70">
        <v>0</v>
      </c>
      <c r="O433" s="70">
        <v>0</v>
      </c>
      <c r="P433" s="70">
        <v>0</v>
      </c>
      <c r="R433" s="72" t="s">
        <v>91</v>
      </c>
      <c r="U433" s="74" t="s">
        <v>495</v>
      </c>
    </row>
    <row r="434" ht="13.9" spans="1:21">
      <c r="A434" s="69">
        <f t="shared" si="15"/>
        <v>430</v>
      </c>
      <c r="B434" s="69" t="s">
        <v>1118</v>
      </c>
      <c r="C434" s="69" t="s">
        <v>693</v>
      </c>
      <c r="D434" s="69" t="s">
        <v>1027</v>
      </c>
      <c r="E434" s="69" t="s">
        <v>126</v>
      </c>
      <c r="F434" s="107">
        <v>46018</v>
      </c>
      <c r="G434" s="69" t="s">
        <v>102</v>
      </c>
      <c r="H434" s="70" t="s">
        <v>1162</v>
      </c>
      <c r="I434" s="70" t="s">
        <v>1164</v>
      </c>
      <c r="J434" s="71" t="s">
        <v>109</v>
      </c>
      <c r="K434" s="71">
        <v>1</v>
      </c>
      <c r="L434" s="72">
        <v>0</v>
      </c>
      <c r="M434" s="72">
        <v>32</v>
      </c>
      <c r="N434" s="70">
        <v>0</v>
      </c>
      <c r="O434" s="70">
        <v>0</v>
      </c>
      <c r="P434" s="70">
        <v>0</v>
      </c>
      <c r="R434" s="72" t="s">
        <v>91</v>
      </c>
      <c r="U434" s="74" t="s">
        <v>495</v>
      </c>
    </row>
    <row r="435" ht="13.9" spans="1:21">
      <c r="A435" s="69">
        <f t="shared" si="15"/>
        <v>431</v>
      </c>
      <c r="B435" s="69" t="s">
        <v>1118</v>
      </c>
      <c r="C435" s="69" t="s">
        <v>693</v>
      </c>
      <c r="D435" s="69" t="s">
        <v>1027</v>
      </c>
      <c r="E435" s="69" t="s">
        <v>126</v>
      </c>
      <c r="F435" s="107">
        <v>46018</v>
      </c>
      <c r="G435" s="69" t="s">
        <v>102</v>
      </c>
      <c r="H435" s="70" t="s">
        <v>1165</v>
      </c>
      <c r="I435" s="70" t="s">
        <v>1166</v>
      </c>
      <c r="J435" s="71" t="s">
        <v>90</v>
      </c>
      <c r="K435" s="71">
        <v>1</v>
      </c>
      <c r="L435" s="72">
        <v>0</v>
      </c>
      <c r="M435" s="72">
        <v>132</v>
      </c>
      <c r="N435" s="72">
        <v>132</v>
      </c>
      <c r="O435" s="70">
        <v>0</v>
      </c>
      <c r="P435" s="70">
        <v>0</v>
      </c>
      <c r="R435" s="72" t="s">
        <v>91</v>
      </c>
    </row>
    <row r="436" ht="13.9" spans="1:21">
      <c r="A436" s="69">
        <f t="shared" si="15"/>
        <v>432</v>
      </c>
      <c r="B436" s="69" t="s">
        <v>1118</v>
      </c>
      <c r="C436" s="69" t="s">
        <v>693</v>
      </c>
      <c r="D436" s="69" t="s">
        <v>1027</v>
      </c>
      <c r="E436" s="69" t="s">
        <v>126</v>
      </c>
      <c r="F436" s="107">
        <v>46018</v>
      </c>
      <c r="G436" s="69" t="s">
        <v>102</v>
      </c>
      <c r="H436" s="70" t="s">
        <v>1165</v>
      </c>
      <c r="I436" s="70" t="s">
        <v>1167</v>
      </c>
      <c r="J436" s="71" t="s">
        <v>109</v>
      </c>
      <c r="K436" s="71">
        <v>1</v>
      </c>
      <c r="L436" s="72">
        <v>0</v>
      </c>
      <c r="M436" s="72">
        <v>148</v>
      </c>
      <c r="N436" s="70">
        <v>0</v>
      </c>
      <c r="O436" s="70">
        <v>0</v>
      </c>
      <c r="P436" s="70">
        <v>0</v>
      </c>
      <c r="R436" s="72" t="s">
        <v>91</v>
      </c>
      <c r="U436" s="74" t="s">
        <v>495</v>
      </c>
    </row>
    <row r="437" ht="13.9" spans="1:21">
      <c r="A437" s="69">
        <f t="shared" si="15"/>
        <v>433</v>
      </c>
      <c r="B437" s="69" t="s">
        <v>1118</v>
      </c>
      <c r="C437" s="69" t="s">
        <v>693</v>
      </c>
      <c r="D437" s="69" t="s">
        <v>1027</v>
      </c>
      <c r="E437" s="69" t="s">
        <v>126</v>
      </c>
      <c r="F437" s="107">
        <v>46018</v>
      </c>
      <c r="G437" s="69" t="s">
        <v>102</v>
      </c>
      <c r="H437" s="70" t="s">
        <v>1165</v>
      </c>
      <c r="I437" s="70" t="s">
        <v>1168</v>
      </c>
      <c r="J437" s="71" t="s">
        <v>109</v>
      </c>
      <c r="K437" s="71">
        <v>1</v>
      </c>
      <c r="L437" s="72">
        <v>0</v>
      </c>
      <c r="M437" s="72">
        <v>68</v>
      </c>
      <c r="N437" s="70">
        <v>0</v>
      </c>
      <c r="O437" s="70">
        <v>0</v>
      </c>
      <c r="P437" s="70">
        <v>0</v>
      </c>
      <c r="R437" s="72" t="s">
        <v>91</v>
      </c>
      <c r="U437" s="74" t="s">
        <v>495</v>
      </c>
    </row>
    <row r="438" ht="13.9" spans="1:21">
      <c r="A438" s="69">
        <f t="shared" si="15"/>
        <v>434</v>
      </c>
      <c r="B438" s="69" t="s">
        <v>1118</v>
      </c>
      <c r="C438" s="69" t="s">
        <v>693</v>
      </c>
      <c r="D438" s="69" t="s">
        <v>1027</v>
      </c>
      <c r="E438" s="69" t="s">
        <v>126</v>
      </c>
      <c r="F438" s="107">
        <v>46018</v>
      </c>
      <c r="G438" s="69" t="s">
        <v>102</v>
      </c>
      <c r="H438" s="70" t="s">
        <v>1169</v>
      </c>
      <c r="I438" s="70" t="s">
        <v>1170</v>
      </c>
      <c r="J438" s="71" t="s">
        <v>109</v>
      </c>
      <c r="K438" s="71">
        <v>1</v>
      </c>
      <c r="L438" s="72">
        <v>0</v>
      </c>
      <c r="M438" s="72">
        <v>54</v>
      </c>
      <c r="N438" s="70">
        <v>0</v>
      </c>
      <c r="O438" s="70">
        <v>0</v>
      </c>
      <c r="P438" s="70">
        <v>0</v>
      </c>
      <c r="R438" s="72" t="s">
        <v>91</v>
      </c>
      <c r="U438" s="74" t="s">
        <v>495</v>
      </c>
    </row>
    <row r="439" ht="13.9" spans="1:21">
      <c r="A439" s="69">
        <f t="shared" si="15"/>
        <v>435</v>
      </c>
      <c r="B439" s="69" t="s">
        <v>1118</v>
      </c>
      <c r="C439" s="69" t="s">
        <v>693</v>
      </c>
      <c r="D439" s="69" t="s">
        <v>1027</v>
      </c>
      <c r="E439" s="69" t="s">
        <v>126</v>
      </c>
      <c r="F439" s="107">
        <v>46018</v>
      </c>
      <c r="G439" s="69" t="s">
        <v>102</v>
      </c>
      <c r="H439" s="70" t="s">
        <v>1169</v>
      </c>
      <c r="I439" s="70" t="s">
        <v>1171</v>
      </c>
      <c r="J439" s="71" t="s">
        <v>90</v>
      </c>
      <c r="K439" s="71">
        <v>1</v>
      </c>
      <c r="L439" s="72">
        <v>0</v>
      </c>
      <c r="M439" s="72">
        <v>28</v>
      </c>
      <c r="N439" s="72">
        <v>28</v>
      </c>
      <c r="O439" s="70">
        <v>0</v>
      </c>
      <c r="P439" s="70">
        <v>0</v>
      </c>
      <c r="R439" s="72" t="s">
        <v>91</v>
      </c>
    </row>
    <row r="440" ht="13.9" spans="1:21">
      <c r="A440" s="69">
        <f t="shared" si="15"/>
        <v>436</v>
      </c>
      <c r="B440" s="69" t="s">
        <v>1118</v>
      </c>
      <c r="C440" s="69" t="s">
        <v>693</v>
      </c>
      <c r="D440" s="69" t="s">
        <v>1027</v>
      </c>
      <c r="E440" s="69" t="s">
        <v>126</v>
      </c>
      <c r="F440" s="107">
        <v>46018</v>
      </c>
      <c r="G440" s="69" t="s">
        <v>102</v>
      </c>
      <c r="H440" s="70" t="s">
        <v>1172</v>
      </c>
      <c r="I440" s="70" t="s">
        <v>1173</v>
      </c>
      <c r="J440" s="71" t="s">
        <v>109</v>
      </c>
      <c r="K440" s="71">
        <v>1</v>
      </c>
      <c r="L440" s="72">
        <v>0</v>
      </c>
      <c r="M440" s="72">
        <v>56</v>
      </c>
      <c r="N440" s="70">
        <v>0</v>
      </c>
      <c r="O440" s="70">
        <v>0</v>
      </c>
      <c r="P440" s="70">
        <v>0</v>
      </c>
      <c r="R440" s="72" t="s">
        <v>91</v>
      </c>
      <c r="U440" s="74" t="s">
        <v>495</v>
      </c>
    </row>
    <row r="441" ht="13.9" spans="1:21">
      <c r="A441" s="69">
        <f t="shared" si="15"/>
        <v>437</v>
      </c>
      <c r="B441" s="69" t="s">
        <v>1118</v>
      </c>
      <c r="C441" s="69" t="s">
        <v>693</v>
      </c>
      <c r="D441" s="69" t="s">
        <v>1027</v>
      </c>
      <c r="E441" s="69" t="s">
        <v>126</v>
      </c>
      <c r="F441" s="107">
        <v>46018</v>
      </c>
      <c r="G441" s="69" t="s">
        <v>102</v>
      </c>
      <c r="H441" s="70" t="s">
        <v>1172</v>
      </c>
      <c r="I441" s="70" t="s">
        <v>1174</v>
      </c>
      <c r="J441" s="71" t="s">
        <v>90</v>
      </c>
      <c r="K441" s="71">
        <v>1</v>
      </c>
      <c r="L441" s="72">
        <v>0</v>
      </c>
      <c r="M441" s="72">
        <v>20</v>
      </c>
      <c r="N441" s="72">
        <v>20</v>
      </c>
      <c r="O441" s="70">
        <v>0</v>
      </c>
      <c r="P441" s="70">
        <v>0</v>
      </c>
      <c r="R441" s="72" t="s">
        <v>91</v>
      </c>
    </row>
    <row r="442" ht="15" spans="1:21">
      <c r="A442" s="69">
        <f t="shared" si="15"/>
        <v>438</v>
      </c>
      <c r="B442" s="130" t="s">
        <v>1095</v>
      </c>
      <c r="C442" s="69" t="s">
        <v>693</v>
      </c>
      <c r="D442" s="69" t="s">
        <v>1175</v>
      </c>
      <c r="E442" s="69" t="s">
        <v>126</v>
      </c>
      <c r="F442" s="107">
        <v>46019</v>
      </c>
      <c r="G442" s="69" t="s">
        <v>87</v>
      </c>
      <c r="H442" s="131" t="s">
        <v>661</v>
      </c>
      <c r="I442" s="131" t="s">
        <v>662</v>
      </c>
      <c r="J442" s="71" t="s">
        <v>109</v>
      </c>
      <c r="K442" s="71">
        <v>1</v>
      </c>
      <c r="L442" s="72">
        <v>0</v>
      </c>
      <c r="M442" s="132">
        <v>2.16</v>
      </c>
      <c r="N442" s="70">
        <v>0</v>
      </c>
      <c r="O442" s="70">
        <v>0</v>
      </c>
      <c r="P442" s="70">
        <v>0</v>
      </c>
      <c r="R442" s="72" t="s">
        <v>91</v>
      </c>
      <c r="U442" s="115" t="s">
        <v>663</v>
      </c>
    </row>
    <row r="443" ht="15" spans="1:21">
      <c r="A443" s="69">
        <f t="shared" si="15"/>
        <v>439</v>
      </c>
      <c r="B443" s="130" t="s">
        <v>1095</v>
      </c>
      <c r="C443" s="69" t="s">
        <v>693</v>
      </c>
      <c r="D443" s="69" t="s">
        <v>1175</v>
      </c>
      <c r="E443" s="69" t="s">
        <v>126</v>
      </c>
      <c r="F443" s="107">
        <v>46019</v>
      </c>
      <c r="G443" s="69" t="s">
        <v>87</v>
      </c>
      <c r="H443" s="131" t="s">
        <v>1176</v>
      </c>
      <c r="I443" s="131" t="s">
        <v>1177</v>
      </c>
      <c r="J443" s="71" t="s">
        <v>90</v>
      </c>
      <c r="K443" s="71">
        <v>1</v>
      </c>
      <c r="L443" s="71">
        <v>1</v>
      </c>
      <c r="M443" s="132">
        <v>1.24155059223834</v>
      </c>
      <c r="N443" s="70">
        <v>0</v>
      </c>
      <c r="O443" s="70">
        <v>0</v>
      </c>
      <c r="P443" s="70">
        <v>0</v>
      </c>
      <c r="R443" s="72" t="s">
        <v>91</v>
      </c>
      <c r="U443" s="115"/>
    </row>
    <row r="444" ht="15" spans="1:21">
      <c r="A444" s="69">
        <f t="shared" si="15"/>
        <v>440</v>
      </c>
      <c r="B444" s="130" t="s">
        <v>1095</v>
      </c>
      <c r="C444" s="69" t="s">
        <v>693</v>
      </c>
      <c r="D444" s="69" t="s">
        <v>1175</v>
      </c>
      <c r="E444" s="69" t="s">
        <v>126</v>
      </c>
      <c r="F444" s="107">
        <v>46019</v>
      </c>
      <c r="G444" s="69" t="s">
        <v>87</v>
      </c>
      <c r="H444" s="131" t="s">
        <v>666</v>
      </c>
      <c r="I444" s="131" t="s">
        <v>898</v>
      </c>
      <c r="J444" s="71" t="s">
        <v>90</v>
      </c>
      <c r="K444" s="71">
        <v>1</v>
      </c>
      <c r="L444" s="71">
        <v>1</v>
      </c>
      <c r="M444" s="132">
        <v>5.88073369120611</v>
      </c>
      <c r="N444" s="70">
        <v>0</v>
      </c>
      <c r="O444" s="70">
        <v>0</v>
      </c>
      <c r="P444" s="70">
        <v>0</v>
      </c>
      <c r="R444" s="72" t="s">
        <v>91</v>
      </c>
      <c r="U444" s="114"/>
    </row>
    <row r="445" ht="15" spans="1:21">
      <c r="A445" s="69">
        <f t="shared" si="15"/>
        <v>441</v>
      </c>
      <c r="B445" s="130" t="s">
        <v>1095</v>
      </c>
      <c r="C445" s="69" t="s">
        <v>693</v>
      </c>
      <c r="D445" s="69" t="s">
        <v>1175</v>
      </c>
      <c r="E445" s="69" t="s">
        <v>126</v>
      </c>
      <c r="F445" s="107">
        <v>46019</v>
      </c>
      <c r="G445" s="69" t="s">
        <v>87</v>
      </c>
      <c r="H445" s="131" t="s">
        <v>666</v>
      </c>
      <c r="I445" s="131" t="s">
        <v>899</v>
      </c>
      <c r="J445" s="71" t="s">
        <v>90</v>
      </c>
      <c r="K445" s="71">
        <v>1</v>
      </c>
      <c r="L445" s="71">
        <v>1</v>
      </c>
      <c r="M445" s="132">
        <v>6.19024599074329</v>
      </c>
      <c r="N445" s="70">
        <v>0</v>
      </c>
      <c r="O445" s="70">
        <v>0</v>
      </c>
      <c r="P445" s="70">
        <v>0</v>
      </c>
      <c r="R445" s="72" t="s">
        <v>91</v>
      </c>
      <c r="U445" s="114"/>
    </row>
    <row r="446" ht="15" spans="1:21">
      <c r="A446" s="69">
        <f t="shared" si="15"/>
        <v>442</v>
      </c>
      <c r="B446" s="130" t="s">
        <v>1095</v>
      </c>
      <c r="C446" s="69" t="s">
        <v>693</v>
      </c>
      <c r="D446" s="69" t="s">
        <v>1175</v>
      </c>
      <c r="E446" s="69" t="s">
        <v>126</v>
      </c>
      <c r="F446" s="107">
        <v>46019</v>
      </c>
      <c r="G446" s="69" t="s">
        <v>87</v>
      </c>
      <c r="H446" s="133" t="s">
        <v>674</v>
      </c>
      <c r="I446" s="133" t="s">
        <v>1178</v>
      </c>
      <c r="J446" s="71" t="s">
        <v>109</v>
      </c>
      <c r="K446" s="71">
        <v>1</v>
      </c>
      <c r="L446" s="72">
        <v>0</v>
      </c>
      <c r="M446" s="132">
        <v>1.81182687025343</v>
      </c>
      <c r="N446" s="70">
        <v>0</v>
      </c>
      <c r="O446" s="70">
        <v>0</v>
      </c>
      <c r="P446" s="70">
        <v>0</v>
      </c>
      <c r="R446" s="72" t="s">
        <v>91</v>
      </c>
      <c r="U446" s="114" t="s">
        <v>1179</v>
      </c>
    </row>
    <row r="447" ht="15" spans="1:21">
      <c r="A447" s="69">
        <f t="shared" si="15"/>
        <v>443</v>
      </c>
      <c r="B447" s="130" t="s">
        <v>1095</v>
      </c>
      <c r="C447" s="69" t="s">
        <v>693</v>
      </c>
      <c r="D447" s="69" t="s">
        <v>1175</v>
      </c>
      <c r="E447" s="69" t="s">
        <v>126</v>
      </c>
      <c r="F447" s="107">
        <v>46019</v>
      </c>
      <c r="G447" s="69" t="s">
        <v>87</v>
      </c>
      <c r="H447" s="133" t="s">
        <v>673</v>
      </c>
      <c r="I447" s="133" t="s">
        <v>674</v>
      </c>
      <c r="J447" s="71" t="s">
        <v>90</v>
      </c>
      <c r="K447" s="71">
        <v>1</v>
      </c>
      <c r="L447" s="71">
        <v>1</v>
      </c>
      <c r="M447" s="132">
        <v>1.10262398810352</v>
      </c>
      <c r="N447" s="70">
        <v>0</v>
      </c>
      <c r="O447" s="70">
        <v>0</v>
      </c>
      <c r="P447" s="70">
        <v>0</v>
      </c>
      <c r="R447" s="72" t="s">
        <v>91</v>
      </c>
      <c r="U447" s="114"/>
    </row>
    <row r="448" ht="15" spans="1:21">
      <c r="A448" s="69">
        <f t="shared" si="15"/>
        <v>444</v>
      </c>
      <c r="B448" s="130" t="s">
        <v>1095</v>
      </c>
      <c r="C448" s="69" t="s">
        <v>693</v>
      </c>
      <c r="D448" s="69" t="s">
        <v>1175</v>
      </c>
      <c r="E448" s="69" t="s">
        <v>126</v>
      </c>
      <c r="F448" s="107">
        <v>46019</v>
      </c>
      <c r="G448" s="69" t="s">
        <v>87</v>
      </c>
      <c r="H448" s="131" t="s">
        <v>675</v>
      </c>
      <c r="I448" s="131" t="s">
        <v>676</v>
      </c>
      <c r="J448" s="71" t="s">
        <v>90</v>
      </c>
      <c r="K448" s="71">
        <v>1</v>
      </c>
      <c r="L448" s="71">
        <v>1</v>
      </c>
      <c r="M448" s="132">
        <v>10.0507719639483</v>
      </c>
      <c r="N448" s="70">
        <v>0</v>
      </c>
      <c r="O448" s="70">
        <v>0</v>
      </c>
      <c r="P448" s="70">
        <v>0</v>
      </c>
      <c r="R448" s="72" t="s">
        <v>91</v>
      </c>
      <c r="U448" s="114"/>
    </row>
    <row r="449" ht="15" spans="1:23">
      <c r="A449" s="69">
        <f t="shared" si="15"/>
        <v>445</v>
      </c>
      <c r="B449" s="130" t="s">
        <v>1095</v>
      </c>
      <c r="C449" s="69" t="s">
        <v>693</v>
      </c>
      <c r="D449" s="69" t="s">
        <v>1175</v>
      </c>
      <c r="E449" s="69" t="s">
        <v>126</v>
      </c>
      <c r="F449" s="107">
        <v>46019</v>
      </c>
      <c r="G449" s="69" t="s">
        <v>87</v>
      </c>
      <c r="H449" s="133" t="s">
        <v>678</v>
      </c>
      <c r="I449" s="133" t="s">
        <v>679</v>
      </c>
      <c r="J449" s="71" t="s">
        <v>90</v>
      </c>
      <c r="K449" s="71">
        <v>1</v>
      </c>
      <c r="L449" s="71">
        <v>1</v>
      </c>
      <c r="M449" s="132">
        <v>11.6682051547906</v>
      </c>
      <c r="N449" s="70">
        <v>0</v>
      </c>
      <c r="O449" s="70">
        <v>0</v>
      </c>
      <c r="P449" s="70">
        <v>0</v>
      </c>
      <c r="R449" s="72" t="s">
        <v>91</v>
      </c>
      <c r="U449" s="114"/>
    </row>
    <row r="450" ht="15" spans="1:23">
      <c r="A450" s="69">
        <f t="shared" si="15"/>
        <v>446</v>
      </c>
      <c r="B450" s="130" t="s">
        <v>1095</v>
      </c>
      <c r="C450" s="69" t="s">
        <v>693</v>
      </c>
      <c r="D450" s="69" t="s">
        <v>1175</v>
      </c>
      <c r="E450" s="69" t="s">
        <v>126</v>
      </c>
      <c r="F450" s="107">
        <v>46019</v>
      </c>
      <c r="G450" s="69" t="s">
        <v>87</v>
      </c>
      <c r="H450" s="133" t="s">
        <v>678</v>
      </c>
      <c r="I450" s="131" t="s">
        <v>681</v>
      </c>
      <c r="J450" s="71" t="s">
        <v>109</v>
      </c>
      <c r="K450" s="71">
        <v>1</v>
      </c>
      <c r="L450" s="72">
        <v>0</v>
      </c>
      <c r="M450" s="132">
        <v>29.6506015370491</v>
      </c>
      <c r="N450" s="70">
        <v>0</v>
      </c>
      <c r="O450" s="70">
        <v>0</v>
      </c>
      <c r="P450" s="70">
        <v>0</v>
      </c>
      <c r="R450" s="72" t="s">
        <v>91</v>
      </c>
      <c r="U450" s="114" t="s">
        <v>1180</v>
      </c>
    </row>
    <row r="451" ht="15" spans="1:23">
      <c r="A451" s="69">
        <f t="shared" si="15"/>
        <v>447</v>
      </c>
      <c r="B451" s="97" t="s">
        <v>1118</v>
      </c>
      <c r="C451" s="69" t="s">
        <v>693</v>
      </c>
      <c r="D451" s="69" t="s">
        <v>1175</v>
      </c>
      <c r="E451" s="69" t="s">
        <v>126</v>
      </c>
      <c r="F451" s="107">
        <v>46020</v>
      </c>
      <c r="G451" s="69" t="s">
        <v>87</v>
      </c>
      <c r="H451" s="131" t="s">
        <v>1181</v>
      </c>
      <c r="I451" s="131" t="s">
        <v>1182</v>
      </c>
      <c r="J451" s="71" t="s">
        <v>90</v>
      </c>
      <c r="K451" s="71">
        <v>1</v>
      </c>
      <c r="L451" s="71">
        <v>1</v>
      </c>
      <c r="M451" s="132">
        <v>0.8</v>
      </c>
      <c r="N451" s="70">
        <v>0</v>
      </c>
      <c r="O451" s="70">
        <v>0</v>
      </c>
      <c r="P451" s="70">
        <v>0</v>
      </c>
      <c r="R451" s="72" t="s">
        <v>91</v>
      </c>
    </row>
    <row r="452" ht="15" spans="1:23">
      <c r="A452" s="69">
        <f t="shared" si="15"/>
        <v>448</v>
      </c>
      <c r="B452" s="97" t="s">
        <v>1118</v>
      </c>
      <c r="C452" s="69" t="s">
        <v>693</v>
      </c>
      <c r="D452" s="69" t="s">
        <v>1175</v>
      </c>
      <c r="E452" s="69" t="s">
        <v>126</v>
      </c>
      <c r="F452" s="107">
        <v>46020</v>
      </c>
      <c r="G452" s="69" t="s">
        <v>87</v>
      </c>
      <c r="H452" s="131" t="s">
        <v>1183</v>
      </c>
      <c r="I452" s="131" t="s">
        <v>1184</v>
      </c>
      <c r="J452" s="71" t="s">
        <v>90</v>
      </c>
      <c r="K452" s="71">
        <v>1</v>
      </c>
      <c r="L452" s="71">
        <v>1</v>
      </c>
      <c r="M452" s="132">
        <v>4.6</v>
      </c>
      <c r="N452" s="70">
        <v>0</v>
      </c>
      <c r="O452" s="70">
        <v>0</v>
      </c>
      <c r="P452" s="70">
        <v>0</v>
      </c>
      <c r="R452" s="72" t="s">
        <v>91</v>
      </c>
    </row>
    <row r="453" ht="15" spans="1:23">
      <c r="A453" s="69">
        <f t="shared" ref="A453:A467" si="16">ROW()-4</f>
        <v>449</v>
      </c>
      <c r="B453" s="97" t="s">
        <v>1118</v>
      </c>
      <c r="C453" s="69" t="s">
        <v>693</v>
      </c>
      <c r="D453" s="69" t="s">
        <v>1175</v>
      </c>
      <c r="E453" s="69" t="s">
        <v>126</v>
      </c>
      <c r="F453" s="107">
        <v>46020</v>
      </c>
      <c r="G453" s="69" t="s">
        <v>87</v>
      </c>
      <c r="H453" s="133" t="s">
        <v>1185</v>
      </c>
      <c r="I453" s="133" t="s">
        <v>1186</v>
      </c>
      <c r="J453" s="71" t="s">
        <v>109</v>
      </c>
      <c r="K453" s="71">
        <v>1</v>
      </c>
      <c r="L453" s="72">
        <v>0</v>
      </c>
      <c r="M453" s="132">
        <v>0.95</v>
      </c>
      <c r="N453" s="70">
        <v>0</v>
      </c>
      <c r="O453" s="70">
        <v>0</v>
      </c>
      <c r="P453" s="70">
        <v>0</v>
      </c>
      <c r="R453" s="72" t="s">
        <v>91</v>
      </c>
      <c r="U453" s="114" t="s">
        <v>1187</v>
      </c>
    </row>
    <row r="454" ht="15" spans="1:23">
      <c r="A454" s="69">
        <f t="shared" si="16"/>
        <v>450</v>
      </c>
      <c r="B454" s="97" t="s">
        <v>1118</v>
      </c>
      <c r="C454" s="69" t="s">
        <v>693</v>
      </c>
      <c r="D454" s="69" t="s">
        <v>1175</v>
      </c>
      <c r="E454" s="69" t="s">
        <v>126</v>
      </c>
      <c r="F454" s="107">
        <v>46020</v>
      </c>
      <c r="G454" s="69" t="s">
        <v>87</v>
      </c>
      <c r="H454" s="131" t="s">
        <v>1188</v>
      </c>
      <c r="I454" s="134"/>
      <c r="J454" s="71" t="s">
        <v>90</v>
      </c>
      <c r="K454" s="71">
        <v>1</v>
      </c>
      <c r="L454" s="71">
        <v>1</v>
      </c>
      <c r="M454" s="132">
        <v>71</v>
      </c>
      <c r="N454" s="70">
        <v>0</v>
      </c>
      <c r="O454" s="70">
        <v>0</v>
      </c>
      <c r="P454" s="70">
        <v>0</v>
      </c>
      <c r="R454" s="72" t="s">
        <v>91</v>
      </c>
    </row>
    <row r="455" ht="13.9" spans="1:23">
      <c r="A455" s="69">
        <f t="shared" si="16"/>
        <v>451</v>
      </c>
      <c r="B455" s="69" t="s">
        <v>692</v>
      </c>
      <c r="C455" s="98" t="s">
        <v>1189</v>
      </c>
      <c r="D455" s="98" t="s">
        <v>1190</v>
      </c>
      <c r="E455" s="99" t="s">
        <v>126</v>
      </c>
      <c r="F455" s="126">
        <v>45849</v>
      </c>
      <c r="G455" s="69" t="s">
        <v>87</v>
      </c>
      <c r="H455" s="70" t="s">
        <v>1191</v>
      </c>
      <c r="I455" s="70" t="s">
        <v>1192</v>
      </c>
      <c r="J455" s="108" t="s">
        <v>109</v>
      </c>
      <c r="K455" s="71">
        <v>1</v>
      </c>
      <c r="L455" s="72">
        <v>0</v>
      </c>
      <c r="M455" s="72">
        <f>0.4*4</f>
        <v>1.6</v>
      </c>
      <c r="N455" s="70">
        <v>0</v>
      </c>
      <c r="O455" s="70">
        <v>0</v>
      </c>
      <c r="P455" s="70">
        <v>0</v>
      </c>
      <c r="R455" s="102" t="s">
        <v>91</v>
      </c>
      <c r="U455" s="135" t="s">
        <v>1193</v>
      </c>
      <c r="V455" s="136"/>
      <c r="W455" s="136"/>
    </row>
    <row r="456" ht="17.5" customHeight="1" spans="1:23">
      <c r="A456" s="69">
        <f t="shared" si="16"/>
        <v>452</v>
      </c>
      <c r="B456" s="69" t="s">
        <v>692</v>
      </c>
      <c r="C456" s="69" t="s">
        <v>329</v>
      </c>
      <c r="D456" s="69" t="s">
        <v>197</v>
      </c>
      <c r="E456" s="99" t="s">
        <v>126</v>
      </c>
      <c r="F456" s="107">
        <v>45922</v>
      </c>
      <c r="G456" s="69" t="s">
        <v>128</v>
      </c>
      <c r="H456" s="70" t="s">
        <v>1194</v>
      </c>
      <c r="I456" s="70" t="s">
        <v>1195</v>
      </c>
      <c r="J456" s="108" t="s">
        <v>109</v>
      </c>
      <c r="K456" s="71">
        <v>1</v>
      </c>
      <c r="L456" s="72">
        <v>0</v>
      </c>
      <c r="M456" s="72">
        <v>15</v>
      </c>
      <c r="N456" s="70">
        <v>0</v>
      </c>
      <c r="O456" s="70">
        <v>0</v>
      </c>
      <c r="P456" s="70">
        <v>0</v>
      </c>
      <c r="R456" s="102" t="s">
        <v>91</v>
      </c>
      <c r="U456" s="74" t="s">
        <v>1196</v>
      </c>
    </row>
    <row r="457" ht="13.9" spans="1:23">
      <c r="A457" s="69">
        <f t="shared" si="16"/>
        <v>453</v>
      </c>
      <c r="B457" s="69" t="s">
        <v>692</v>
      </c>
      <c r="C457" s="69" t="s">
        <v>329</v>
      </c>
      <c r="D457" s="69" t="s">
        <v>197</v>
      </c>
      <c r="E457" s="99" t="s">
        <v>126</v>
      </c>
      <c r="F457" s="107">
        <v>45922</v>
      </c>
      <c r="G457" s="69" t="s">
        <v>128</v>
      </c>
      <c r="H457" s="70" t="s">
        <v>1197</v>
      </c>
      <c r="I457" s="70" t="s">
        <v>438</v>
      </c>
      <c r="J457" s="108" t="s">
        <v>90</v>
      </c>
      <c r="K457" s="71">
        <v>1</v>
      </c>
      <c r="L457" s="71">
        <v>1</v>
      </c>
      <c r="M457" s="72">
        <v>97</v>
      </c>
      <c r="N457" s="72">
        <v>97</v>
      </c>
      <c r="O457" s="70">
        <v>0</v>
      </c>
      <c r="P457" s="70">
        <v>0</v>
      </c>
      <c r="R457" s="102" t="s">
        <v>91</v>
      </c>
    </row>
    <row r="458" ht="13.9" spans="1:23">
      <c r="A458" s="69">
        <f t="shared" si="16"/>
        <v>454</v>
      </c>
      <c r="B458" s="69" t="s">
        <v>692</v>
      </c>
      <c r="C458" s="69" t="s">
        <v>329</v>
      </c>
      <c r="D458" s="69" t="s">
        <v>330</v>
      </c>
      <c r="E458" s="99" t="s">
        <v>126</v>
      </c>
      <c r="F458" s="107">
        <v>45922</v>
      </c>
      <c r="G458" s="69" t="s">
        <v>128</v>
      </c>
      <c r="H458" s="70" t="s">
        <v>129</v>
      </c>
      <c r="I458" s="70" t="s">
        <v>130</v>
      </c>
      <c r="J458" s="108" t="s">
        <v>109</v>
      </c>
      <c r="K458" s="71">
        <v>1</v>
      </c>
      <c r="L458" s="72">
        <v>0</v>
      </c>
      <c r="M458" s="72">
        <v>5</v>
      </c>
      <c r="N458" s="70">
        <v>0</v>
      </c>
      <c r="O458" s="70">
        <v>0</v>
      </c>
      <c r="P458" s="70">
        <v>0</v>
      </c>
      <c r="R458" s="102" t="s">
        <v>91</v>
      </c>
      <c r="U458" s="74" t="s">
        <v>1198</v>
      </c>
    </row>
    <row r="459" ht="13.9" spans="1:23">
      <c r="A459" s="69">
        <f t="shared" si="16"/>
        <v>455</v>
      </c>
      <c r="B459" s="69" t="s">
        <v>692</v>
      </c>
      <c r="C459" s="69" t="s">
        <v>329</v>
      </c>
      <c r="D459" s="69" t="s">
        <v>330</v>
      </c>
      <c r="E459" s="99" t="s">
        <v>126</v>
      </c>
      <c r="F459" s="107">
        <v>45922</v>
      </c>
      <c r="G459" s="69" t="s">
        <v>128</v>
      </c>
      <c r="H459" s="70" t="s">
        <v>1199</v>
      </c>
      <c r="I459" s="70" t="s">
        <v>1200</v>
      </c>
      <c r="J459" s="108" t="s">
        <v>109</v>
      </c>
      <c r="K459" s="71">
        <v>1</v>
      </c>
      <c r="L459" s="72">
        <v>0</v>
      </c>
      <c r="M459" s="72">
        <v>6.5</v>
      </c>
      <c r="N459" s="70">
        <v>0</v>
      </c>
      <c r="O459" s="70">
        <v>0</v>
      </c>
      <c r="P459" s="70">
        <v>0</v>
      </c>
      <c r="R459" s="102" t="s">
        <v>91</v>
      </c>
      <c r="U459" s="74" t="s">
        <v>1201</v>
      </c>
    </row>
    <row r="460" ht="13.9" spans="1:23">
      <c r="A460" s="69">
        <f t="shared" si="16"/>
        <v>456</v>
      </c>
      <c r="B460" s="69" t="s">
        <v>692</v>
      </c>
      <c r="C460" s="69" t="s">
        <v>329</v>
      </c>
      <c r="D460" s="69" t="s">
        <v>330</v>
      </c>
      <c r="E460" s="99" t="s">
        <v>126</v>
      </c>
      <c r="F460" s="107">
        <v>45922</v>
      </c>
      <c r="G460" s="69" t="s">
        <v>128</v>
      </c>
      <c r="H460" s="70" t="s">
        <v>1202</v>
      </c>
      <c r="I460" s="70" t="s">
        <v>438</v>
      </c>
      <c r="J460" s="108" t="s">
        <v>109</v>
      </c>
      <c r="K460" s="71">
        <v>1</v>
      </c>
      <c r="L460" s="72">
        <v>0</v>
      </c>
      <c r="M460" s="72">
        <v>70</v>
      </c>
      <c r="N460" s="70">
        <v>0</v>
      </c>
      <c r="O460" s="70">
        <v>0</v>
      </c>
      <c r="P460" s="70">
        <v>0</v>
      </c>
      <c r="R460" s="102" t="s">
        <v>91</v>
      </c>
      <c r="U460" s="74" t="s">
        <v>1203</v>
      </c>
    </row>
    <row r="461" ht="13.9" spans="1:23">
      <c r="A461" s="69">
        <f t="shared" si="16"/>
        <v>457</v>
      </c>
      <c r="B461" s="69" t="s">
        <v>692</v>
      </c>
      <c r="C461" s="69" t="s">
        <v>329</v>
      </c>
      <c r="D461" s="69" t="s">
        <v>1204</v>
      </c>
      <c r="E461" s="99" t="s">
        <v>126</v>
      </c>
      <c r="F461" s="107">
        <v>45922</v>
      </c>
      <c r="G461" s="69" t="s">
        <v>128</v>
      </c>
      <c r="H461" s="70" t="s">
        <v>1205</v>
      </c>
      <c r="I461" s="70" t="s">
        <v>1206</v>
      </c>
      <c r="J461" s="108" t="s">
        <v>109</v>
      </c>
      <c r="K461" s="71">
        <v>1</v>
      </c>
      <c r="L461" s="72">
        <v>0</v>
      </c>
      <c r="M461" s="72">
        <v>20</v>
      </c>
      <c r="N461" s="70">
        <v>0</v>
      </c>
      <c r="O461" s="70">
        <v>0</v>
      </c>
      <c r="P461" s="70">
        <v>0</v>
      </c>
      <c r="R461" s="102" t="s">
        <v>91</v>
      </c>
      <c r="U461" s="74" t="s">
        <v>1150</v>
      </c>
    </row>
    <row r="462" ht="13.9" spans="1:23">
      <c r="A462" s="69">
        <f t="shared" si="16"/>
        <v>458</v>
      </c>
      <c r="B462" s="69" t="s">
        <v>828</v>
      </c>
      <c r="C462" s="98" t="s">
        <v>1207</v>
      </c>
      <c r="D462" s="69" t="s">
        <v>396</v>
      </c>
      <c r="E462" s="99" t="s">
        <v>126</v>
      </c>
      <c r="F462" s="73" t="s">
        <v>1208</v>
      </c>
      <c r="G462" s="69" t="s">
        <v>272</v>
      </c>
      <c r="H462" s="225" t="s">
        <v>1209</v>
      </c>
      <c r="I462" s="225" t="s">
        <v>1210</v>
      </c>
      <c r="J462" s="100" t="s">
        <v>109</v>
      </c>
      <c r="K462" s="71">
        <v>1</v>
      </c>
      <c r="L462" s="72">
        <v>0</v>
      </c>
      <c r="M462" s="72">
        <v>81.74</v>
      </c>
      <c r="N462" s="70">
        <v>0</v>
      </c>
      <c r="O462" s="70">
        <v>0</v>
      </c>
      <c r="P462" s="70">
        <v>0</v>
      </c>
      <c r="R462" s="102" t="s">
        <v>91</v>
      </c>
      <c r="U462" s="74" t="s">
        <v>802</v>
      </c>
    </row>
    <row r="463" ht="13.9" spans="1:23">
      <c r="A463" s="69">
        <f t="shared" si="16"/>
        <v>459</v>
      </c>
      <c r="B463" s="69" t="s">
        <v>828</v>
      </c>
      <c r="C463" s="98" t="s">
        <v>833</v>
      </c>
      <c r="D463" s="69" t="s">
        <v>593</v>
      </c>
      <c r="E463" s="99" t="s">
        <v>126</v>
      </c>
      <c r="F463" s="73" t="s">
        <v>1208</v>
      </c>
      <c r="G463" s="69" t="s">
        <v>272</v>
      </c>
      <c r="H463" s="225" t="s">
        <v>1211</v>
      </c>
      <c r="I463" s="225" t="s">
        <v>1212</v>
      </c>
      <c r="J463" s="100" t="s">
        <v>109</v>
      </c>
      <c r="K463" s="71">
        <v>1</v>
      </c>
      <c r="L463" s="72">
        <v>0</v>
      </c>
      <c r="M463" s="72">
        <v>61.59</v>
      </c>
      <c r="N463" s="70">
        <v>0</v>
      </c>
      <c r="O463" s="70">
        <v>0</v>
      </c>
      <c r="P463" s="70">
        <v>0</v>
      </c>
      <c r="R463" s="102" t="s">
        <v>91</v>
      </c>
      <c r="U463" s="74" t="s">
        <v>802</v>
      </c>
    </row>
    <row r="464" ht="13.9" spans="1:23">
      <c r="A464" s="69">
        <f t="shared" si="16"/>
        <v>460</v>
      </c>
      <c r="B464" s="69" t="s">
        <v>55</v>
      </c>
      <c r="C464" s="69" t="s">
        <v>329</v>
      </c>
      <c r="D464" s="69" t="s">
        <v>284</v>
      </c>
      <c r="E464" s="99" t="s">
        <v>126</v>
      </c>
      <c r="F464" s="107">
        <v>45999</v>
      </c>
      <c r="G464" s="69" t="s">
        <v>340</v>
      </c>
      <c r="H464" s="70" t="s">
        <v>1213</v>
      </c>
      <c r="I464" s="70" t="s">
        <v>1214</v>
      </c>
      <c r="J464" s="71" t="s">
        <v>109</v>
      </c>
      <c r="K464" s="71">
        <v>1</v>
      </c>
      <c r="L464" s="72">
        <v>0</v>
      </c>
      <c r="M464" s="72">
        <v>60</v>
      </c>
      <c r="N464" s="70">
        <v>0</v>
      </c>
      <c r="O464" s="70">
        <v>0</v>
      </c>
      <c r="P464" s="70">
        <v>0</v>
      </c>
      <c r="R464" s="102" t="s">
        <v>91</v>
      </c>
      <c r="U464" s="74" t="s">
        <v>1215</v>
      </c>
    </row>
    <row r="465" ht="13.9" spans="1:21">
      <c r="A465" s="69">
        <f t="shared" si="16"/>
        <v>461</v>
      </c>
      <c r="B465" s="69" t="s">
        <v>55</v>
      </c>
      <c r="C465" s="69" t="s">
        <v>329</v>
      </c>
      <c r="D465" s="69" t="s">
        <v>284</v>
      </c>
      <c r="E465" s="99" t="s">
        <v>126</v>
      </c>
      <c r="F465" s="107">
        <v>46000</v>
      </c>
      <c r="G465" s="69" t="s">
        <v>340</v>
      </c>
      <c r="H465" s="70" t="s">
        <v>1216</v>
      </c>
      <c r="I465" s="70" t="s">
        <v>1217</v>
      </c>
      <c r="J465" s="71" t="s">
        <v>90</v>
      </c>
      <c r="K465" s="71">
        <v>1</v>
      </c>
      <c r="L465" s="72">
        <v>1</v>
      </c>
      <c r="M465" s="72">
        <v>60</v>
      </c>
      <c r="N465" s="70">
        <v>60</v>
      </c>
      <c r="O465" s="70">
        <v>0</v>
      </c>
      <c r="P465" s="70">
        <v>0</v>
      </c>
      <c r="R465" s="102" t="s">
        <v>91</v>
      </c>
    </row>
    <row r="466" ht="27.75" spans="1:21">
      <c r="A466" s="69">
        <f t="shared" si="16"/>
        <v>462</v>
      </c>
      <c r="B466" s="69" t="s">
        <v>1218</v>
      </c>
      <c r="C466" s="69" t="s">
        <v>329</v>
      </c>
      <c r="D466" s="69" t="s">
        <v>284</v>
      </c>
      <c r="E466" s="69" t="s">
        <v>151</v>
      </c>
      <c r="F466" s="107">
        <v>46030</v>
      </c>
      <c r="G466" s="69" t="s">
        <v>1084</v>
      </c>
      <c r="H466" s="70" t="s">
        <v>1219</v>
      </c>
      <c r="I466" s="70" t="s">
        <v>1220</v>
      </c>
      <c r="J466" s="71" t="s">
        <v>109</v>
      </c>
      <c r="K466" s="71">
        <v>1</v>
      </c>
      <c r="L466" s="72">
        <v>1</v>
      </c>
      <c r="M466" s="72">
        <v>0</v>
      </c>
      <c r="N466" s="70">
        <v>0</v>
      </c>
      <c r="O466" s="70">
        <v>132</v>
      </c>
      <c r="P466" s="70">
        <v>0</v>
      </c>
      <c r="R466" s="102" t="s">
        <v>91</v>
      </c>
    </row>
    <row r="467" ht="13.9" spans="1:21">
      <c r="A467" s="69">
        <f t="shared" si="16"/>
        <v>463</v>
      </c>
      <c r="B467" s="137" t="s">
        <v>1218</v>
      </c>
      <c r="C467" s="138" t="s">
        <v>329</v>
      </c>
      <c r="D467" s="139" t="s">
        <v>979</v>
      </c>
      <c r="E467" s="138" t="s">
        <v>126</v>
      </c>
      <c r="F467" s="140">
        <v>46010</v>
      </c>
      <c r="G467" s="138" t="s">
        <v>962</v>
      </c>
      <c r="H467" s="141" t="s">
        <v>1221</v>
      </c>
      <c r="I467" s="141" t="s">
        <v>1222</v>
      </c>
      <c r="J467" s="142" t="s">
        <v>90</v>
      </c>
      <c r="K467" s="142">
        <v>1</v>
      </c>
      <c r="L467" s="143">
        <v>1</v>
      </c>
      <c r="M467" s="143">
        <v>15</v>
      </c>
      <c r="N467" s="141">
        <v>15</v>
      </c>
      <c r="O467" s="141">
        <v>0</v>
      </c>
      <c r="P467" s="141">
        <v>0</v>
      </c>
      <c r="Q467" s="143"/>
      <c r="R467" s="143" t="s">
        <v>91</v>
      </c>
      <c r="S467" s="143"/>
      <c r="T467" s="144"/>
      <c r="U467" s="145"/>
    </row>
    <row r="468" ht="13.9" spans="1:21">
      <c r="A468" s="69">
        <v>464</v>
      </c>
      <c r="B468" s="137" t="s">
        <v>1218</v>
      </c>
      <c r="C468" s="69" t="s">
        <v>329</v>
      </c>
      <c r="D468" s="69" t="s">
        <v>1223</v>
      </c>
      <c r="E468" s="99" t="s">
        <v>126</v>
      </c>
      <c r="F468" s="140">
        <v>46014</v>
      </c>
      <c r="G468" s="69" t="s">
        <v>1224</v>
      </c>
      <c r="H468" s="70" t="s">
        <v>1225</v>
      </c>
      <c r="I468" s="70" t="s">
        <v>405</v>
      </c>
      <c r="J468" s="71" t="s">
        <v>109</v>
      </c>
      <c r="K468" s="71">
        <v>1</v>
      </c>
      <c r="L468" s="72">
        <v>1</v>
      </c>
      <c r="M468" s="72">
        <v>14</v>
      </c>
      <c r="N468" s="70">
        <v>14</v>
      </c>
      <c r="O468" s="70">
        <v>0</v>
      </c>
      <c r="P468" s="70">
        <v>0</v>
      </c>
      <c r="Q468" s="143"/>
      <c r="R468" s="143" t="s">
        <v>91</v>
      </c>
      <c r="U468" s="74" t="s">
        <v>1226</v>
      </c>
    </row>
    <row r="469" ht="13.9" spans="1:21">
      <c r="A469" s="69">
        <v>465</v>
      </c>
      <c r="B469" s="69" t="s">
        <v>1227</v>
      </c>
      <c r="C469" s="69" t="s">
        <v>329</v>
      </c>
      <c r="D469" s="69" t="s">
        <v>1223</v>
      </c>
      <c r="E469" s="99" t="s">
        <v>126</v>
      </c>
      <c r="F469" s="140">
        <v>46015</v>
      </c>
      <c r="G469" s="69" t="s">
        <v>1224</v>
      </c>
      <c r="H469" s="70" t="s">
        <v>1228</v>
      </c>
      <c r="I469" s="70" t="s">
        <v>1229</v>
      </c>
      <c r="J469" s="142" t="s">
        <v>90</v>
      </c>
      <c r="K469" s="71">
        <v>1</v>
      </c>
      <c r="L469" s="72">
        <v>1</v>
      </c>
      <c r="M469" s="72">
        <v>1.9</v>
      </c>
      <c r="N469" s="72">
        <v>1.9</v>
      </c>
      <c r="O469" s="70">
        <v>3</v>
      </c>
      <c r="P469" s="70">
        <v>0</v>
      </c>
      <c r="Q469" s="143"/>
      <c r="R469" s="143" t="s">
        <v>91</v>
      </c>
    </row>
    <row r="470" ht="13.9" spans="1:21">
      <c r="A470" s="69">
        <v>466</v>
      </c>
      <c r="B470" s="69" t="s">
        <v>55</v>
      </c>
      <c r="C470" s="69" t="s">
        <v>329</v>
      </c>
      <c r="D470" s="69" t="s">
        <v>1230</v>
      </c>
      <c r="E470" s="99" t="s">
        <v>126</v>
      </c>
      <c r="F470" s="140">
        <v>46015</v>
      </c>
      <c r="G470" s="69" t="s">
        <v>1224</v>
      </c>
      <c r="H470" s="70" t="s">
        <v>1231</v>
      </c>
      <c r="I470" s="70" t="s">
        <v>1232</v>
      </c>
      <c r="J470" s="71" t="s">
        <v>109</v>
      </c>
      <c r="K470" s="71">
        <v>1</v>
      </c>
      <c r="L470" s="72">
        <v>1</v>
      </c>
      <c r="M470" s="72">
        <v>11.8</v>
      </c>
      <c r="N470" s="72">
        <v>11.8</v>
      </c>
      <c r="O470" s="70">
        <v>0</v>
      </c>
      <c r="P470" s="70">
        <v>0</v>
      </c>
      <c r="R470" s="143" t="s">
        <v>91</v>
      </c>
      <c r="U470" s="74" t="s">
        <v>1226</v>
      </c>
    </row>
    <row r="471" ht="13.9" spans="1:21">
      <c r="A471" s="69">
        <v>467</v>
      </c>
      <c r="B471" s="69" t="s">
        <v>55</v>
      </c>
      <c r="C471" s="69" t="s">
        <v>329</v>
      </c>
      <c r="D471" s="69" t="s">
        <v>1230</v>
      </c>
      <c r="E471" s="99" t="s">
        <v>126</v>
      </c>
      <c r="F471" s="140">
        <v>46015</v>
      </c>
      <c r="G471" s="69" t="s">
        <v>1224</v>
      </c>
      <c r="H471" s="70" t="s">
        <v>1233</v>
      </c>
      <c r="I471" s="70" t="s">
        <v>1234</v>
      </c>
      <c r="J471" s="71" t="s">
        <v>109</v>
      </c>
      <c r="K471" s="71">
        <v>1</v>
      </c>
      <c r="L471" s="72">
        <v>1</v>
      </c>
      <c r="M471" s="72">
        <v>6.21</v>
      </c>
      <c r="N471" s="72">
        <v>6.21</v>
      </c>
      <c r="O471" s="70">
        <v>0</v>
      </c>
      <c r="P471" s="70">
        <v>0</v>
      </c>
      <c r="R471" s="143" t="s">
        <v>91</v>
      </c>
      <c r="U471" s="74" t="s">
        <v>1226</v>
      </c>
    </row>
    <row r="472" ht="13.9" spans="1:21">
      <c r="A472" s="69">
        <v>468</v>
      </c>
      <c r="B472" s="69" t="s">
        <v>1235</v>
      </c>
      <c r="D472" s="69" t="s">
        <v>1230</v>
      </c>
      <c r="E472" s="99" t="s">
        <v>126</v>
      </c>
      <c r="F472" s="140">
        <v>45996</v>
      </c>
      <c r="G472" s="69" t="s">
        <v>1224</v>
      </c>
      <c r="H472" s="70" t="s">
        <v>1236</v>
      </c>
      <c r="I472" s="70" t="s">
        <v>1237</v>
      </c>
      <c r="J472" s="142" t="s">
        <v>90</v>
      </c>
      <c r="K472" s="71">
        <v>1</v>
      </c>
      <c r="L472" s="72">
        <v>1</v>
      </c>
      <c r="M472" s="72">
        <v>100.76</v>
      </c>
      <c r="N472" s="72">
        <v>100.76</v>
      </c>
      <c r="O472" s="70">
        <v>0</v>
      </c>
      <c r="P472" s="70">
        <v>0</v>
      </c>
      <c r="R472" s="143" t="s">
        <v>91</v>
      </c>
    </row>
  </sheetData>
  <mergeCells count="18">
    <mergeCell ref="A2:U2"/>
    <mergeCell ref="H3:P3"/>
    <mergeCell ref="Q3:S3"/>
    <mergeCell ref="U455:W455"/>
    <mergeCell ref="A3:A4"/>
    <mergeCell ref="B3:B4"/>
    <mergeCell ref="C3:C4"/>
    <mergeCell ref="D3:D4"/>
    <mergeCell ref="E3:E4"/>
    <mergeCell ref="F3:F4"/>
    <mergeCell ref="G3:G4"/>
    <mergeCell ref="H212:H213"/>
    <mergeCell ref="M5:M7"/>
    <mergeCell ref="M212:M213"/>
    <mergeCell ref="N5:N7"/>
    <mergeCell ref="T3:T4"/>
    <mergeCell ref="U3:U4"/>
    <mergeCell ref="U212:U213"/>
  </mergeCells>
  <dataValidations count="4">
    <dataValidation type="list" allowBlank="1" showInputMessage="1" showErrorMessage="1" sqref="E147 E5:E18 E72:E75 E98:E108 E112:E128 E171:E197 E290:E295 E302:E326 E343:E346 E349:E351 E455:E463 E468:E472">
      <formula1>"方案评审,方案成本分析,SOR评审,报价单分析，其他"</formula1>
    </dataValidation>
    <dataValidation type="list" allowBlank="1" showInputMessage="1" showErrorMessage="1" sqref="J468 J5:J271 J290:J320 J323:J351 J356:J466 J470:J471 J473:J483">
      <formula1>"已实施,部分实施,未实施"</formula1>
    </dataValidation>
    <dataValidation type="list" allowBlank="1" showInputMessage="1" showErrorMessage="1" sqref="D312:D315 E19:E25 E59:E71 E76:E97 E109:E111 E129:E146 E148:E165 E198:E250 E262:E271 E296:E301 E327:E342 E347:E348 E352:E396 E404:E441 E464:E466 E473:E483">
      <formula1>"方案评审,方案成本分析,SOR评审,报价单分析,SOR成本分析"</formula1>
    </dataValidation>
    <dataValidation type="list" allowBlank="1" showInputMessage="1" showErrorMessage="1" sqref="Q227:Q250 R5:R17 R59:R68 R120:R128 R137:R144 R148:R165 R177:R184 R202:R226 R292:R295 R302:R326 R343:R346 R455:R461 Q290:R291 Q462:R463 Q171:R176 Q18:R25 Q72:R75 Q98:R108 Q112:R119 Q185:R201">
      <formula1>"√,-"</formula1>
    </dataValidation>
  </dataValidations>
  <pageMargins left="0.7" right="0.7" top="0.75" bottom="0.75" header="0.3" footer="0.3"/>
  <pageSetup paperSize="9" scale="4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B1:W408"/>
  <sheetViews>
    <sheetView zoomScale="70" zoomScaleNormal="70" workbookViewId="0">
      <pane xSplit="5" ySplit="3" topLeftCell="I355" activePane="bottomRight" state="frozen"/>
      <selection/>
      <selection pane="topRight"/>
      <selection pane="bottomLeft"/>
      <selection pane="bottomRight" activeCell="Z371" sqref="Z371"/>
    </sheetView>
  </sheetViews>
  <sheetFormatPr defaultColWidth="8" defaultRowHeight="13.85"/>
  <cols>
    <col min="1" max="1" width="2.50442477876106" style="2" customWidth="1"/>
    <col min="2" max="2" width="7.07964601769912" style="2" customWidth="1"/>
    <col min="3" max="3" width="27.5044247787611" style="2" customWidth="1"/>
    <col min="4" max="4" width="15.7522123893805" style="2" customWidth="1"/>
    <col min="5" max="5" width="21.8318584070796" style="2" customWidth="1"/>
    <col min="6" max="6" width="13.8318584070796" style="2" customWidth="1"/>
    <col min="7" max="7" width="10.8318584070796" style="2" customWidth="1"/>
    <col min="8" max="8" width="19.5840707964602" style="2" customWidth="1"/>
    <col min="9" max="9" width="13.7522123893805" style="2" customWidth="1"/>
    <col min="10" max="10" width="18.0796460176991" style="3" customWidth="1"/>
    <col min="11" max="12" width="18.0796460176991" style="2" customWidth="1"/>
    <col min="13" max="13" width="13.7522123893805" style="2" customWidth="1"/>
    <col min="14" max="16" width="18.0796460176991" style="2" customWidth="1"/>
    <col min="17" max="19" width="13.7522123893805" style="2" customWidth="1"/>
    <col min="20" max="20" width="20.8318584070796" style="2" customWidth="1"/>
    <col min="21" max="21" width="9.50442477876106" style="2" customWidth="1"/>
    <col min="22" max="22" width="11.2477876106195" style="2" customWidth="1"/>
    <col min="23" max="23" width="13.5044247787611" style="2" customWidth="1"/>
    <col min="24" max="16384" width="8" style="2"/>
  </cols>
  <sheetData>
    <row r="1" ht="14.6"/>
    <row r="2" ht="38.25" customHeight="1" spans="2:23">
      <c r="B2" s="4" t="s">
        <v>9</v>
      </c>
      <c r="C2" s="5" t="s">
        <v>14</v>
      </c>
      <c r="D2" s="5" t="s">
        <v>18</v>
      </c>
      <c r="E2" s="5" t="s">
        <v>19</v>
      </c>
      <c r="F2" s="6" t="s">
        <v>1238</v>
      </c>
      <c r="G2" s="6"/>
      <c r="H2" s="5" t="s">
        <v>1239</v>
      </c>
      <c r="I2" s="6" t="s">
        <v>1240</v>
      </c>
      <c r="J2" s="7" t="s">
        <v>1241</v>
      </c>
      <c r="K2" s="6"/>
      <c r="L2" s="6"/>
      <c r="M2" s="6"/>
      <c r="N2" s="6" t="s">
        <v>1242</v>
      </c>
      <c r="O2" s="6"/>
      <c r="P2" s="6"/>
      <c r="Q2" s="6"/>
      <c r="R2" s="6" t="s">
        <v>1243</v>
      </c>
      <c r="S2" s="6" t="s">
        <v>1244</v>
      </c>
      <c r="T2" s="6" t="s">
        <v>1245</v>
      </c>
      <c r="U2" s="6" t="s">
        <v>1246</v>
      </c>
      <c r="V2" s="6" t="s">
        <v>1247</v>
      </c>
      <c r="W2" s="8" t="s">
        <v>1248</v>
      </c>
    </row>
    <row r="3" ht="35.25" customHeight="1" spans="2:23">
      <c r="B3" s="9"/>
      <c r="C3" s="10"/>
      <c r="D3" s="10"/>
      <c r="E3" s="10"/>
      <c r="F3" s="11"/>
      <c r="G3" s="11" t="s">
        <v>1249</v>
      </c>
      <c r="H3" s="10"/>
      <c r="I3" s="11"/>
      <c r="J3" s="12" t="s">
        <v>1250</v>
      </c>
      <c r="K3" s="13" t="s">
        <v>1251</v>
      </c>
      <c r="L3" s="13" t="s">
        <v>1252</v>
      </c>
      <c r="M3" s="13" t="s">
        <v>1253</v>
      </c>
      <c r="N3" s="13" t="s">
        <v>1254</v>
      </c>
      <c r="O3" s="13" t="s">
        <v>1251</v>
      </c>
      <c r="P3" s="13" t="s">
        <v>1255</v>
      </c>
      <c r="Q3" s="13" t="s">
        <v>1256</v>
      </c>
      <c r="R3" s="11"/>
      <c r="S3" s="11"/>
      <c r="T3" s="11"/>
      <c r="U3" s="11"/>
      <c r="V3" s="11"/>
      <c r="W3" s="14"/>
    </row>
    <row r="4" ht="18" hidden="1" customHeight="1" spans="2:23">
      <c r="B4" s="15"/>
      <c r="C4" s="16"/>
      <c r="D4" s="17"/>
      <c r="E4" s="18"/>
      <c r="F4" s="19"/>
      <c r="G4" s="16"/>
      <c r="H4" s="16"/>
      <c r="I4" s="20"/>
      <c r="J4" s="19"/>
      <c r="K4" s="20"/>
      <c r="L4" s="20"/>
      <c r="M4" s="20"/>
      <c r="N4" s="19"/>
      <c r="O4" s="20"/>
      <c r="P4" s="20"/>
      <c r="Q4" s="20"/>
      <c r="R4" s="20"/>
      <c r="S4" s="21"/>
      <c r="T4" s="16"/>
      <c r="U4" s="16"/>
      <c r="V4" s="22"/>
      <c r="W4" s="23"/>
    </row>
    <row r="5" ht="18" hidden="1" customHeight="1" spans="2:23">
      <c r="B5" s="15"/>
      <c r="C5" s="16"/>
      <c r="D5" s="17"/>
      <c r="E5" s="18"/>
      <c r="F5" s="19"/>
      <c r="G5" s="16"/>
      <c r="H5" s="16"/>
      <c r="I5" s="20"/>
      <c r="J5" s="19"/>
      <c r="K5" s="20"/>
      <c r="L5" s="20"/>
      <c r="M5" s="20"/>
      <c r="N5" s="19"/>
      <c r="O5" s="20"/>
      <c r="P5" s="20"/>
      <c r="Q5" s="20"/>
      <c r="R5" s="20"/>
      <c r="S5" s="21"/>
      <c r="T5" s="16"/>
      <c r="U5" s="16"/>
      <c r="V5" s="22"/>
      <c r="W5" s="23"/>
    </row>
    <row r="6" ht="18" hidden="1" customHeight="1" spans="2:23">
      <c r="B6" s="15"/>
      <c r="C6" s="16"/>
      <c r="D6" s="17"/>
      <c r="E6" s="18"/>
      <c r="F6" s="19"/>
      <c r="G6" s="16"/>
      <c r="H6" s="16"/>
      <c r="I6" s="20"/>
      <c r="J6" s="19"/>
      <c r="K6" s="20"/>
      <c r="L6" s="20"/>
      <c r="M6" s="20"/>
      <c r="N6" s="19"/>
      <c r="O6" s="20"/>
      <c r="P6" s="20"/>
      <c r="Q6" s="20"/>
      <c r="R6" s="20"/>
      <c r="S6" s="21"/>
      <c r="T6" s="16"/>
      <c r="U6" s="16"/>
      <c r="V6" s="22"/>
      <c r="W6" s="23"/>
    </row>
    <row r="7" ht="18" hidden="1" customHeight="1" spans="2:23">
      <c r="B7" s="15"/>
      <c r="C7" s="16"/>
      <c r="D7" s="17"/>
      <c r="E7" s="18"/>
      <c r="F7" s="19"/>
      <c r="G7" s="16"/>
      <c r="H7" s="16"/>
      <c r="I7" s="20"/>
      <c r="J7" s="19"/>
      <c r="K7" s="20"/>
      <c r="L7" s="20"/>
      <c r="M7" s="20"/>
      <c r="N7" s="19"/>
      <c r="O7" s="20"/>
      <c r="P7" s="20"/>
      <c r="Q7" s="20"/>
      <c r="R7" s="20"/>
      <c r="S7" s="21"/>
      <c r="T7" s="16"/>
      <c r="U7" s="16"/>
      <c r="V7" s="22"/>
      <c r="W7" s="23"/>
    </row>
    <row r="8" ht="18" hidden="1" customHeight="1" spans="2:23">
      <c r="B8" s="15"/>
      <c r="C8" s="16"/>
      <c r="D8" s="17"/>
      <c r="E8" s="18"/>
      <c r="F8" s="19"/>
      <c r="G8" s="16"/>
      <c r="H8" s="16"/>
      <c r="I8" s="20"/>
      <c r="J8" s="19"/>
      <c r="K8" s="20"/>
      <c r="L8" s="20"/>
      <c r="M8" s="20"/>
      <c r="N8" s="19"/>
      <c r="O8" s="20"/>
      <c r="P8" s="20"/>
      <c r="Q8" s="20"/>
      <c r="R8" s="20"/>
      <c r="S8" s="21"/>
      <c r="T8" s="16"/>
      <c r="U8" s="16"/>
      <c r="V8" s="22"/>
      <c r="W8" s="23"/>
    </row>
    <row r="9" ht="18" hidden="1" customHeight="1" spans="2:23">
      <c r="B9" s="15"/>
      <c r="C9" s="16"/>
      <c r="D9" s="17"/>
      <c r="E9" s="18"/>
      <c r="F9" s="19"/>
      <c r="G9" s="16"/>
      <c r="H9" s="16"/>
      <c r="I9" s="20"/>
      <c r="J9" s="19"/>
      <c r="K9" s="20"/>
      <c r="L9" s="20"/>
      <c r="M9" s="20"/>
      <c r="N9" s="19"/>
      <c r="O9" s="20"/>
      <c r="P9" s="20"/>
      <c r="Q9" s="20"/>
      <c r="R9" s="20"/>
      <c r="S9" s="21"/>
      <c r="T9" s="16"/>
      <c r="U9" s="16"/>
      <c r="V9" s="22"/>
      <c r="W9" s="23"/>
    </row>
    <row r="10" ht="18" hidden="1" customHeight="1" spans="2:23">
      <c r="B10" s="15"/>
      <c r="C10" s="16"/>
      <c r="D10" s="17"/>
      <c r="E10" s="18"/>
      <c r="F10" s="19"/>
      <c r="G10" s="16"/>
      <c r="H10" s="16"/>
      <c r="I10" s="20"/>
      <c r="J10" s="19"/>
      <c r="K10" s="20"/>
      <c r="L10" s="20"/>
      <c r="M10" s="20"/>
      <c r="N10" s="19"/>
      <c r="O10" s="20"/>
      <c r="P10" s="20"/>
      <c r="Q10" s="20"/>
      <c r="R10" s="20"/>
      <c r="S10" s="21"/>
      <c r="T10" s="16"/>
      <c r="U10" s="16"/>
      <c r="V10" s="22"/>
      <c r="W10" s="23"/>
    </row>
    <row r="11" ht="18" hidden="1" customHeight="1" spans="2:23">
      <c r="B11" s="15"/>
      <c r="C11" s="16"/>
      <c r="D11" s="17"/>
      <c r="E11" s="18"/>
      <c r="F11" s="19"/>
      <c r="G11" s="16"/>
      <c r="H11" s="16"/>
      <c r="I11" s="20"/>
      <c r="J11" s="19"/>
      <c r="K11" s="20"/>
      <c r="L11" s="20"/>
      <c r="M11" s="20"/>
      <c r="N11" s="19"/>
      <c r="O11" s="20"/>
      <c r="P11" s="20"/>
      <c r="Q11" s="20"/>
      <c r="R11" s="20"/>
      <c r="S11" s="21"/>
      <c r="T11" s="16"/>
      <c r="U11" s="16"/>
      <c r="V11" s="22"/>
      <c r="W11" s="23"/>
    </row>
    <row r="12" ht="18" hidden="1" customHeight="1" spans="2:23">
      <c r="B12" s="15"/>
      <c r="C12" s="16"/>
      <c r="D12" s="17"/>
      <c r="E12" s="18"/>
      <c r="F12" s="19"/>
      <c r="G12" s="16"/>
      <c r="H12" s="16"/>
      <c r="I12" s="20"/>
      <c r="J12" s="19"/>
      <c r="K12" s="20"/>
      <c r="L12" s="20"/>
      <c r="M12" s="20"/>
      <c r="N12" s="19"/>
      <c r="O12" s="20"/>
      <c r="P12" s="20"/>
      <c r="Q12" s="20"/>
      <c r="R12" s="20"/>
      <c r="S12" s="21"/>
      <c r="T12" s="16"/>
      <c r="U12" s="16"/>
      <c r="V12" s="22"/>
      <c r="W12" s="23"/>
    </row>
    <row r="13" ht="18" hidden="1" customHeight="1" spans="2:23">
      <c r="B13" s="15"/>
      <c r="C13" s="16"/>
      <c r="D13" s="17"/>
      <c r="E13" s="18"/>
      <c r="F13" s="19"/>
      <c r="G13" s="16"/>
      <c r="H13" s="16"/>
      <c r="I13" s="20"/>
      <c r="J13" s="19"/>
      <c r="K13" s="20"/>
      <c r="L13" s="20"/>
      <c r="M13" s="20"/>
      <c r="N13" s="19"/>
      <c r="O13" s="20"/>
      <c r="P13" s="20"/>
      <c r="Q13" s="20"/>
      <c r="R13" s="20"/>
      <c r="S13" s="21"/>
      <c r="T13" s="16"/>
      <c r="U13" s="16"/>
      <c r="V13" s="22"/>
      <c r="W13" s="23"/>
    </row>
    <row r="14" ht="18" hidden="1" customHeight="1" spans="2:23">
      <c r="B14" s="15"/>
      <c r="C14" s="16"/>
      <c r="D14" s="17"/>
      <c r="E14" s="18"/>
      <c r="F14" s="19"/>
      <c r="G14" s="16"/>
      <c r="H14" s="16"/>
      <c r="I14" s="20"/>
      <c r="J14" s="19"/>
      <c r="K14" s="20"/>
      <c r="L14" s="20"/>
      <c r="M14" s="20"/>
      <c r="N14" s="19"/>
      <c r="O14" s="20"/>
      <c r="P14" s="20"/>
      <c r="Q14" s="20"/>
      <c r="R14" s="20"/>
      <c r="S14" s="21"/>
      <c r="T14" s="16"/>
      <c r="U14" s="16"/>
      <c r="V14" s="22"/>
      <c r="W14" s="23"/>
    </row>
    <row r="15" ht="18" hidden="1" customHeight="1" spans="2:23">
      <c r="B15" s="15"/>
      <c r="C15" s="16"/>
      <c r="D15" s="17"/>
      <c r="E15" s="18"/>
      <c r="F15" s="19"/>
      <c r="G15" s="16"/>
      <c r="H15" s="16"/>
      <c r="I15" s="20"/>
      <c r="J15" s="19"/>
      <c r="K15" s="20"/>
      <c r="L15" s="20"/>
      <c r="M15" s="20"/>
      <c r="N15" s="19"/>
      <c r="O15" s="20"/>
      <c r="P15" s="20"/>
      <c r="Q15" s="20"/>
      <c r="R15" s="20"/>
      <c r="S15" s="21"/>
      <c r="T15" s="16"/>
      <c r="U15" s="16"/>
      <c r="V15" s="22"/>
      <c r="W15" s="23"/>
    </row>
    <row r="16" s="1" customFormat="1" ht="18" hidden="1" customHeight="1" spans="2:23">
      <c r="B16" s="15"/>
      <c r="C16" s="16"/>
      <c r="D16" s="17"/>
      <c r="E16" s="18"/>
      <c r="F16" s="19"/>
      <c r="G16" s="16"/>
      <c r="H16" s="16"/>
      <c r="I16" s="20"/>
      <c r="J16" s="19"/>
      <c r="K16" s="20"/>
      <c r="L16" s="20"/>
      <c r="M16" s="20"/>
      <c r="N16" s="19"/>
      <c r="O16" s="20"/>
      <c r="P16" s="20"/>
      <c r="Q16" s="20"/>
      <c r="R16" s="20"/>
      <c r="S16" s="21"/>
      <c r="T16" s="16"/>
      <c r="U16" s="16"/>
      <c r="V16" s="22"/>
      <c r="W16" s="23"/>
    </row>
    <row r="17" s="1" customFormat="1" ht="18" hidden="1" customHeight="1" spans="2:23">
      <c r="B17" s="15"/>
      <c r="C17" s="16"/>
      <c r="D17" s="17"/>
      <c r="E17" s="18"/>
      <c r="F17" s="19"/>
      <c r="G17" s="16"/>
      <c r="H17" s="16"/>
      <c r="I17" s="20"/>
      <c r="J17" s="19"/>
      <c r="K17" s="20"/>
      <c r="L17" s="20"/>
      <c r="M17" s="20"/>
      <c r="N17" s="19"/>
      <c r="O17" s="20"/>
      <c r="P17" s="20"/>
      <c r="Q17" s="20"/>
      <c r="R17" s="20"/>
      <c r="S17" s="21"/>
      <c r="T17" s="16"/>
      <c r="U17" s="16"/>
      <c r="V17" s="22"/>
      <c r="W17" s="23"/>
    </row>
    <row r="18" s="1" customFormat="1" ht="18" hidden="1" customHeight="1" spans="2:23">
      <c r="B18" s="15"/>
      <c r="C18" s="16"/>
      <c r="D18" s="17"/>
      <c r="E18" s="18"/>
      <c r="F18" s="19"/>
      <c r="G18" s="16"/>
      <c r="H18" s="16"/>
      <c r="I18" s="20"/>
      <c r="J18" s="19"/>
      <c r="K18" s="20"/>
      <c r="L18" s="20"/>
      <c r="M18" s="20"/>
      <c r="N18" s="19"/>
      <c r="O18" s="20"/>
      <c r="P18" s="20"/>
      <c r="Q18" s="20"/>
      <c r="R18" s="20"/>
      <c r="S18" s="21"/>
      <c r="T18" s="16"/>
      <c r="U18" s="16"/>
      <c r="V18" s="22"/>
      <c r="W18" s="23"/>
    </row>
    <row r="19" s="1" customFormat="1" ht="18" hidden="1" customHeight="1" spans="2:23">
      <c r="B19" s="15"/>
      <c r="C19" s="16"/>
      <c r="D19" s="17"/>
      <c r="E19" s="18"/>
      <c r="F19" s="19"/>
      <c r="G19" s="16"/>
      <c r="H19" s="16"/>
      <c r="I19" s="20"/>
      <c r="J19" s="19"/>
      <c r="K19" s="20"/>
      <c r="L19" s="20"/>
      <c r="M19" s="20"/>
      <c r="N19" s="19"/>
      <c r="O19" s="20"/>
      <c r="P19" s="20"/>
      <c r="Q19" s="20"/>
      <c r="R19" s="20"/>
      <c r="S19" s="21"/>
      <c r="T19" s="16"/>
      <c r="U19" s="16"/>
      <c r="V19" s="22"/>
      <c r="W19" s="23"/>
    </row>
    <row r="20" s="1" customFormat="1" ht="18" hidden="1" customHeight="1" spans="2:23">
      <c r="B20" s="15"/>
      <c r="C20" s="16"/>
      <c r="D20" s="17"/>
      <c r="E20" s="18"/>
      <c r="F20" s="19"/>
      <c r="G20" s="16"/>
      <c r="H20" s="16"/>
      <c r="I20" s="20"/>
      <c r="J20" s="19"/>
      <c r="K20" s="20"/>
      <c r="L20" s="20"/>
      <c r="M20" s="20"/>
      <c r="N20" s="19"/>
      <c r="O20" s="20"/>
      <c r="P20" s="20"/>
      <c r="Q20" s="20"/>
      <c r="R20" s="20"/>
      <c r="S20" s="21"/>
      <c r="T20" s="16"/>
      <c r="U20" s="16"/>
      <c r="V20" s="22"/>
      <c r="W20" s="23"/>
    </row>
    <row r="21" ht="18" hidden="1" customHeight="1" spans="2:23">
      <c r="B21" s="15"/>
      <c r="C21" s="16"/>
      <c r="D21" s="17"/>
      <c r="E21" s="18"/>
      <c r="F21" s="19"/>
      <c r="G21" s="16"/>
      <c r="H21" s="16"/>
      <c r="I21" s="20"/>
      <c r="J21" s="19"/>
      <c r="K21" s="20"/>
      <c r="L21" s="20"/>
      <c r="M21" s="20"/>
      <c r="N21" s="19"/>
      <c r="O21" s="20"/>
      <c r="P21" s="20"/>
      <c r="Q21" s="20"/>
      <c r="R21" s="20"/>
      <c r="S21" s="21"/>
      <c r="T21" s="16"/>
      <c r="U21" s="16"/>
      <c r="V21" s="22"/>
      <c r="W21" s="23"/>
    </row>
    <row r="22" ht="18" hidden="1" customHeight="1" spans="2:23">
      <c r="B22" s="15"/>
      <c r="C22" s="16"/>
      <c r="D22" s="17"/>
      <c r="E22" s="18"/>
      <c r="F22" s="19"/>
      <c r="G22" s="16"/>
      <c r="H22" s="16"/>
      <c r="I22" s="20"/>
      <c r="J22" s="19"/>
      <c r="K22" s="20"/>
      <c r="L22" s="20"/>
      <c r="M22" s="20"/>
      <c r="N22" s="19"/>
      <c r="O22" s="20"/>
      <c r="P22" s="20"/>
      <c r="Q22" s="20"/>
      <c r="R22" s="20"/>
      <c r="S22" s="21"/>
      <c r="T22" s="16"/>
      <c r="U22" s="16"/>
      <c r="V22" s="22"/>
      <c r="W22" s="23"/>
    </row>
    <row r="23" ht="18" hidden="1" customHeight="1" spans="2:23">
      <c r="B23" s="15"/>
      <c r="C23" s="16"/>
      <c r="D23" s="17"/>
      <c r="E23" s="18"/>
      <c r="F23" s="19"/>
      <c r="G23" s="16"/>
      <c r="H23" s="16"/>
      <c r="I23" s="20"/>
      <c r="J23" s="19"/>
      <c r="K23" s="20"/>
      <c r="L23" s="20"/>
      <c r="M23" s="20"/>
      <c r="N23" s="19"/>
      <c r="O23" s="20"/>
      <c r="P23" s="20"/>
      <c r="Q23" s="20"/>
      <c r="R23" s="20"/>
      <c r="S23" s="21"/>
      <c r="T23" s="16"/>
      <c r="U23" s="16"/>
      <c r="V23" s="22"/>
      <c r="W23" s="23"/>
    </row>
    <row r="24" ht="18" hidden="1" customHeight="1" spans="2:23">
      <c r="B24" s="15"/>
      <c r="C24" s="16"/>
      <c r="D24" s="17"/>
      <c r="E24" s="18"/>
      <c r="F24" s="19"/>
      <c r="G24" s="16"/>
      <c r="H24" s="16"/>
      <c r="I24" s="20"/>
      <c r="J24" s="19"/>
      <c r="K24" s="20"/>
      <c r="L24" s="20"/>
      <c r="M24" s="20"/>
      <c r="N24" s="19"/>
      <c r="O24" s="20"/>
      <c r="P24" s="20"/>
      <c r="Q24" s="20"/>
      <c r="R24" s="20"/>
      <c r="S24" s="21"/>
      <c r="T24" s="16"/>
      <c r="U24" s="16"/>
      <c r="V24" s="22"/>
      <c r="W24" s="23"/>
    </row>
    <row r="25" ht="18" hidden="1" customHeight="1" spans="2:23">
      <c r="B25" s="15"/>
      <c r="C25" s="16"/>
      <c r="D25" s="17"/>
      <c r="E25" s="18"/>
      <c r="F25" s="19"/>
      <c r="G25" s="16"/>
      <c r="H25" s="16"/>
      <c r="I25" s="20"/>
      <c r="J25" s="19"/>
      <c r="K25" s="20"/>
      <c r="L25" s="20"/>
      <c r="M25" s="20"/>
      <c r="N25" s="19"/>
      <c r="O25" s="20"/>
      <c r="P25" s="20"/>
      <c r="Q25" s="20"/>
      <c r="R25" s="20"/>
      <c r="S25" s="21"/>
      <c r="T25" s="16"/>
      <c r="U25" s="16"/>
      <c r="V25" s="22"/>
      <c r="W25" s="23"/>
    </row>
    <row r="26" ht="18" hidden="1" customHeight="1" spans="2:23">
      <c r="B26" s="15"/>
      <c r="C26" s="16"/>
      <c r="D26" s="17"/>
      <c r="E26" s="18"/>
      <c r="F26" s="19"/>
      <c r="G26" s="16"/>
      <c r="H26" s="16"/>
      <c r="I26" s="20"/>
      <c r="J26" s="19"/>
      <c r="K26" s="20"/>
      <c r="L26" s="20"/>
      <c r="M26" s="20"/>
      <c r="N26" s="19"/>
      <c r="O26" s="20"/>
      <c r="P26" s="20"/>
      <c r="Q26" s="20"/>
      <c r="R26" s="20"/>
      <c r="S26" s="21"/>
      <c r="T26" s="16"/>
      <c r="U26" s="16"/>
      <c r="V26" s="22"/>
      <c r="W26" s="23"/>
    </row>
    <row r="27" ht="18" hidden="1" customHeight="1" spans="2:23">
      <c r="B27" s="15"/>
      <c r="C27" s="16"/>
      <c r="D27" s="17"/>
      <c r="E27" s="18"/>
      <c r="F27" s="19"/>
      <c r="G27" s="16"/>
      <c r="H27" s="16"/>
      <c r="I27" s="20"/>
      <c r="J27" s="19"/>
      <c r="K27" s="20"/>
      <c r="L27" s="20"/>
      <c r="M27" s="20"/>
      <c r="N27" s="19"/>
      <c r="O27" s="20"/>
      <c r="P27" s="20"/>
      <c r="Q27" s="20"/>
      <c r="R27" s="20"/>
      <c r="S27" s="21"/>
      <c r="T27" s="16"/>
      <c r="U27" s="16"/>
      <c r="V27" s="22"/>
      <c r="W27" s="23"/>
    </row>
    <row r="28" ht="22.5" hidden="1" customHeight="1" spans="2:23">
      <c r="B28" s="15"/>
      <c r="C28" s="16"/>
      <c r="D28" s="17"/>
      <c r="E28" s="18"/>
      <c r="F28" s="19"/>
      <c r="G28" s="16"/>
      <c r="H28" s="16"/>
      <c r="I28" s="20"/>
      <c r="J28" s="19"/>
      <c r="K28" s="20"/>
      <c r="L28" s="20"/>
      <c r="M28" s="20"/>
      <c r="N28" s="19"/>
      <c r="O28" s="20"/>
      <c r="P28" s="20"/>
      <c r="Q28" s="20"/>
      <c r="R28" s="20"/>
      <c r="S28" s="21"/>
      <c r="T28" s="16"/>
      <c r="U28" s="16"/>
      <c r="V28" s="22"/>
      <c r="W28" s="23"/>
    </row>
    <row r="29" ht="22.5" hidden="1" customHeight="1" spans="2:23">
      <c r="B29" s="15"/>
      <c r="C29" s="16"/>
      <c r="D29" s="17"/>
      <c r="E29" s="18"/>
      <c r="F29" s="19"/>
      <c r="G29" s="16"/>
      <c r="H29" s="16"/>
      <c r="I29" s="20"/>
      <c r="J29" s="19"/>
      <c r="K29" s="20"/>
      <c r="L29" s="20"/>
      <c r="M29" s="20"/>
      <c r="N29" s="19"/>
      <c r="O29" s="20"/>
      <c r="P29" s="20"/>
      <c r="Q29" s="20"/>
      <c r="R29" s="20"/>
      <c r="S29" s="21"/>
      <c r="T29" s="16"/>
      <c r="U29" s="16"/>
      <c r="V29" s="22"/>
      <c r="W29" s="23"/>
    </row>
    <row r="30" ht="22.5" hidden="1" customHeight="1" spans="2:23">
      <c r="B30" s="15"/>
      <c r="C30" s="16"/>
      <c r="D30" s="17"/>
      <c r="E30" s="18"/>
      <c r="F30" s="19"/>
      <c r="G30" s="16"/>
      <c r="H30" s="16"/>
      <c r="I30" s="20"/>
      <c r="J30" s="19"/>
      <c r="K30" s="20"/>
      <c r="L30" s="20"/>
      <c r="M30" s="20"/>
      <c r="N30" s="19"/>
      <c r="O30" s="20"/>
      <c r="P30" s="20"/>
      <c r="Q30" s="20"/>
      <c r="R30" s="20"/>
      <c r="S30" s="21"/>
      <c r="T30" s="16"/>
      <c r="U30" s="16"/>
      <c r="V30" s="22"/>
      <c r="W30" s="23"/>
    </row>
    <row r="31" ht="22.5" hidden="1" customHeight="1" spans="2:23">
      <c r="B31" s="15"/>
      <c r="C31" s="16"/>
      <c r="D31" s="17"/>
      <c r="E31" s="18"/>
      <c r="F31" s="19"/>
      <c r="G31" s="16"/>
      <c r="H31" s="16"/>
      <c r="I31" s="20"/>
      <c r="J31" s="19"/>
      <c r="K31" s="20"/>
      <c r="L31" s="20"/>
      <c r="M31" s="20"/>
      <c r="N31" s="19"/>
      <c r="O31" s="20"/>
      <c r="P31" s="20"/>
      <c r="Q31" s="20"/>
      <c r="R31" s="20"/>
      <c r="S31" s="21"/>
      <c r="T31" s="16"/>
      <c r="U31" s="16"/>
      <c r="V31" s="22"/>
      <c r="W31" s="23"/>
    </row>
    <row r="32" ht="22.5" hidden="1" customHeight="1" spans="2:23">
      <c r="B32" s="15"/>
      <c r="C32" s="16"/>
      <c r="D32" s="17"/>
      <c r="E32" s="18"/>
      <c r="F32" s="19"/>
      <c r="G32" s="16"/>
      <c r="H32" s="16"/>
      <c r="I32" s="20"/>
      <c r="J32" s="19"/>
      <c r="K32" s="20"/>
      <c r="L32" s="20"/>
      <c r="M32" s="20"/>
      <c r="N32" s="19"/>
      <c r="O32" s="20"/>
      <c r="P32" s="20"/>
      <c r="Q32" s="20"/>
      <c r="R32" s="20"/>
      <c r="S32" s="21"/>
      <c r="T32" s="16"/>
      <c r="U32" s="16"/>
      <c r="V32" s="22"/>
      <c r="W32" s="23"/>
    </row>
    <row r="33" ht="22.5" hidden="1" customHeight="1" spans="2:23">
      <c r="B33" s="15"/>
      <c r="C33" s="16"/>
      <c r="D33" s="17"/>
      <c r="E33" s="18"/>
      <c r="F33" s="19"/>
      <c r="G33" s="16"/>
      <c r="H33" s="16"/>
      <c r="I33" s="20"/>
      <c r="J33" s="19"/>
      <c r="K33" s="20"/>
      <c r="L33" s="20"/>
      <c r="M33" s="20"/>
      <c r="N33" s="19"/>
      <c r="O33" s="20"/>
      <c r="P33" s="20"/>
      <c r="Q33" s="20"/>
      <c r="R33" s="20"/>
      <c r="S33" s="21"/>
      <c r="T33" s="16"/>
      <c r="U33" s="16"/>
      <c r="V33" s="22"/>
      <c r="W33" s="23"/>
    </row>
    <row r="34" ht="22.5" hidden="1" customHeight="1" spans="2:23">
      <c r="B34" s="15"/>
      <c r="C34" s="16"/>
      <c r="D34" s="17"/>
      <c r="E34" s="18"/>
      <c r="F34" s="19"/>
      <c r="G34" s="16"/>
      <c r="H34" s="16"/>
      <c r="I34" s="20"/>
      <c r="J34" s="19"/>
      <c r="K34" s="20"/>
      <c r="L34" s="20"/>
      <c r="M34" s="20"/>
      <c r="N34" s="19"/>
      <c r="O34" s="20"/>
      <c r="P34" s="20"/>
      <c r="Q34" s="20"/>
      <c r="R34" s="20"/>
      <c r="S34" s="21"/>
      <c r="T34" s="16"/>
      <c r="U34" s="16"/>
      <c r="V34" s="22"/>
      <c r="W34" s="23"/>
    </row>
    <row r="35" ht="22.5" hidden="1" customHeight="1" spans="2:23">
      <c r="B35" s="15"/>
      <c r="C35" s="16"/>
      <c r="D35" s="17"/>
      <c r="E35" s="18"/>
      <c r="F35" s="19"/>
      <c r="G35" s="16"/>
      <c r="H35" s="16"/>
      <c r="I35" s="20"/>
      <c r="J35" s="19"/>
      <c r="K35" s="20"/>
      <c r="L35" s="20"/>
      <c r="M35" s="20"/>
      <c r="N35" s="19"/>
      <c r="O35" s="20"/>
      <c r="P35" s="20"/>
      <c r="Q35" s="20"/>
      <c r="R35" s="20"/>
      <c r="S35" s="21"/>
      <c r="T35" s="16"/>
      <c r="U35" s="16"/>
      <c r="V35" s="22"/>
      <c r="W35" s="23"/>
    </row>
    <row r="36" ht="22.5" hidden="1" customHeight="1" spans="2:23">
      <c r="B36" s="15"/>
      <c r="C36" s="16"/>
      <c r="D36" s="17"/>
      <c r="E36" s="18"/>
      <c r="F36" s="19"/>
      <c r="G36" s="16"/>
      <c r="H36" s="16"/>
      <c r="I36" s="20"/>
      <c r="J36" s="19"/>
      <c r="K36" s="20"/>
      <c r="L36" s="20"/>
      <c r="M36" s="20"/>
      <c r="N36" s="19"/>
      <c r="O36" s="20"/>
      <c r="P36" s="20"/>
      <c r="Q36" s="20"/>
      <c r="R36" s="20"/>
      <c r="S36" s="21"/>
      <c r="T36" s="16"/>
      <c r="U36" s="16"/>
      <c r="V36" s="22"/>
      <c r="W36" s="23"/>
    </row>
    <row r="37" ht="22.5" hidden="1" customHeight="1" spans="2:23">
      <c r="B37" s="15"/>
      <c r="C37" s="16"/>
      <c r="D37" s="17"/>
      <c r="E37" s="18"/>
      <c r="F37" s="19"/>
      <c r="G37" s="16"/>
      <c r="H37" s="16"/>
      <c r="I37" s="20"/>
      <c r="J37" s="19"/>
      <c r="K37" s="20"/>
      <c r="L37" s="20"/>
      <c r="M37" s="20"/>
      <c r="N37" s="19"/>
      <c r="O37" s="20"/>
      <c r="P37" s="20"/>
      <c r="Q37" s="20"/>
      <c r="R37" s="20"/>
      <c r="S37" s="21"/>
      <c r="T37" s="16"/>
      <c r="U37" s="16"/>
      <c r="V37" s="22"/>
      <c r="W37" s="23"/>
    </row>
    <row r="38" ht="22.5" hidden="1" customHeight="1" spans="2:23">
      <c r="B38" s="15"/>
      <c r="C38" s="16"/>
      <c r="D38" s="17"/>
      <c r="E38" s="18"/>
      <c r="F38" s="19"/>
      <c r="G38" s="16"/>
      <c r="H38" s="16"/>
      <c r="I38" s="20"/>
      <c r="J38" s="19"/>
      <c r="K38" s="20"/>
      <c r="L38" s="20"/>
      <c r="M38" s="20"/>
      <c r="N38" s="19"/>
      <c r="O38" s="20"/>
      <c r="P38" s="20"/>
      <c r="Q38" s="20"/>
      <c r="R38" s="20"/>
      <c r="S38" s="21"/>
      <c r="T38" s="16"/>
      <c r="U38" s="16"/>
      <c r="V38" s="22"/>
      <c r="W38" s="23"/>
    </row>
    <row r="39" ht="22.5" hidden="1" customHeight="1" spans="2:23">
      <c r="B39" s="15"/>
      <c r="C39" s="16"/>
      <c r="D39" s="17"/>
      <c r="E39" s="18"/>
      <c r="F39" s="19"/>
      <c r="G39" s="16"/>
      <c r="H39" s="16"/>
      <c r="I39" s="20"/>
      <c r="J39" s="19"/>
      <c r="K39" s="20"/>
      <c r="L39" s="20"/>
      <c r="M39" s="20"/>
      <c r="N39" s="19"/>
      <c r="O39" s="20"/>
      <c r="P39" s="20"/>
      <c r="Q39" s="20"/>
      <c r="R39" s="20"/>
      <c r="S39" s="21"/>
      <c r="T39" s="16"/>
      <c r="U39" s="16"/>
      <c r="V39" s="22"/>
      <c r="W39" s="23"/>
    </row>
    <row r="40" ht="22.5" hidden="1" customHeight="1" spans="2:23">
      <c r="B40" s="15"/>
      <c r="C40" s="16"/>
      <c r="D40" s="17"/>
      <c r="E40" s="18"/>
      <c r="F40" s="19"/>
      <c r="G40" s="16"/>
      <c r="H40" s="16"/>
      <c r="I40" s="20"/>
      <c r="J40" s="19"/>
      <c r="K40" s="20"/>
      <c r="L40" s="20"/>
      <c r="M40" s="20"/>
      <c r="N40" s="19"/>
      <c r="O40" s="20"/>
      <c r="P40" s="20"/>
      <c r="Q40" s="20"/>
      <c r="R40" s="20"/>
      <c r="S40" s="21"/>
      <c r="T40" s="16"/>
      <c r="U40" s="16"/>
      <c r="V40" s="22"/>
      <c r="W40" s="23"/>
    </row>
    <row r="41" ht="22.5" hidden="1" customHeight="1" spans="2:23">
      <c r="B41" s="15"/>
      <c r="C41" s="16"/>
      <c r="D41" s="17"/>
      <c r="E41" s="18"/>
      <c r="F41" s="19"/>
      <c r="G41" s="16"/>
      <c r="H41" s="16"/>
      <c r="I41" s="20"/>
      <c r="J41" s="19"/>
      <c r="K41" s="20"/>
      <c r="L41" s="20"/>
      <c r="M41" s="20"/>
      <c r="N41" s="19"/>
      <c r="O41" s="20"/>
      <c r="P41" s="20"/>
      <c r="Q41" s="20"/>
      <c r="R41" s="20"/>
      <c r="S41" s="21"/>
      <c r="T41" s="16"/>
      <c r="U41" s="16"/>
      <c r="V41" s="22"/>
      <c r="W41" s="23"/>
    </row>
    <row r="42" ht="22.5" hidden="1" customHeight="1" spans="2:23">
      <c r="B42" s="15"/>
      <c r="C42" s="16"/>
      <c r="D42" s="17"/>
      <c r="E42" s="18"/>
      <c r="F42" s="19"/>
      <c r="G42" s="16"/>
      <c r="H42" s="16"/>
      <c r="I42" s="20"/>
      <c r="J42" s="19"/>
      <c r="K42" s="20"/>
      <c r="L42" s="20"/>
      <c r="M42" s="20"/>
      <c r="N42" s="19"/>
      <c r="O42" s="20"/>
      <c r="P42" s="20"/>
      <c r="Q42" s="20"/>
      <c r="R42" s="20"/>
      <c r="S42" s="21"/>
      <c r="T42" s="16"/>
      <c r="U42" s="16"/>
      <c r="V42" s="22"/>
      <c r="W42" s="23"/>
    </row>
    <row r="43" ht="22.5" hidden="1" customHeight="1" spans="2:23">
      <c r="B43" s="15"/>
      <c r="C43" s="16"/>
      <c r="D43" s="17"/>
      <c r="E43" s="18"/>
      <c r="F43" s="19"/>
      <c r="G43" s="16"/>
      <c r="H43" s="16"/>
      <c r="I43" s="20"/>
      <c r="J43" s="19"/>
      <c r="K43" s="20"/>
      <c r="L43" s="20"/>
      <c r="M43" s="20"/>
      <c r="N43" s="19"/>
      <c r="O43" s="20"/>
      <c r="P43" s="20"/>
      <c r="Q43" s="20"/>
      <c r="R43" s="20"/>
      <c r="S43" s="21"/>
      <c r="T43" s="16"/>
      <c r="U43" s="16"/>
      <c r="V43" s="22"/>
      <c r="W43" s="23"/>
    </row>
    <row r="44" ht="22.5" hidden="1" customHeight="1" spans="2:23">
      <c r="B44" s="15"/>
      <c r="C44" s="16"/>
      <c r="D44" s="17"/>
      <c r="E44" s="18"/>
      <c r="F44" s="19"/>
      <c r="G44" s="16"/>
      <c r="H44" s="16"/>
      <c r="I44" s="20"/>
      <c r="J44" s="19"/>
      <c r="K44" s="20"/>
      <c r="L44" s="20"/>
      <c r="M44" s="20"/>
      <c r="N44" s="19"/>
      <c r="O44" s="20"/>
      <c r="P44" s="20"/>
      <c r="Q44" s="20"/>
      <c r="R44" s="20"/>
      <c r="S44" s="21"/>
      <c r="T44" s="16"/>
      <c r="U44" s="16"/>
      <c r="V44" s="22"/>
      <c r="W44" s="23"/>
    </row>
    <row r="45" ht="22.5" hidden="1" customHeight="1" spans="2:23">
      <c r="B45" s="15"/>
      <c r="C45" s="16"/>
      <c r="D45" s="17"/>
      <c r="E45" s="18"/>
      <c r="F45" s="19"/>
      <c r="G45" s="16"/>
      <c r="H45" s="16"/>
      <c r="I45" s="20"/>
      <c r="J45" s="19"/>
      <c r="K45" s="20"/>
      <c r="L45" s="20"/>
      <c r="M45" s="20"/>
      <c r="N45" s="19"/>
      <c r="O45" s="20"/>
      <c r="P45" s="20"/>
      <c r="Q45" s="20"/>
      <c r="R45" s="20"/>
      <c r="S45" s="21"/>
      <c r="T45" s="16"/>
      <c r="U45" s="16"/>
      <c r="V45" s="22"/>
      <c r="W45" s="23"/>
    </row>
    <row r="46" ht="22.5" hidden="1" customHeight="1" spans="2:23">
      <c r="B46" s="15"/>
      <c r="C46" s="16"/>
      <c r="D46" s="17"/>
      <c r="E46" s="18"/>
      <c r="F46" s="19"/>
      <c r="G46" s="16"/>
      <c r="H46" s="16"/>
      <c r="I46" s="20"/>
      <c r="J46" s="19"/>
      <c r="K46" s="20"/>
      <c r="L46" s="20"/>
      <c r="M46" s="20"/>
      <c r="N46" s="19"/>
      <c r="O46" s="20"/>
      <c r="P46" s="20"/>
      <c r="Q46" s="20"/>
      <c r="R46" s="20"/>
      <c r="S46" s="21"/>
      <c r="T46" s="16"/>
      <c r="U46" s="16"/>
      <c r="V46" s="22"/>
      <c r="W46" s="23"/>
    </row>
    <row r="47" ht="22.5" hidden="1" customHeight="1" spans="2:23">
      <c r="B47" s="15"/>
      <c r="C47" s="16"/>
      <c r="D47" s="17"/>
      <c r="E47" s="18"/>
      <c r="F47" s="19"/>
      <c r="G47" s="16"/>
      <c r="H47" s="16"/>
      <c r="I47" s="20"/>
      <c r="J47" s="19"/>
      <c r="K47" s="20"/>
      <c r="L47" s="20"/>
      <c r="M47" s="20"/>
      <c r="N47" s="19"/>
      <c r="O47" s="20"/>
      <c r="P47" s="20"/>
      <c r="Q47" s="20"/>
      <c r="R47" s="20"/>
      <c r="S47" s="21"/>
      <c r="T47" s="16"/>
      <c r="U47" s="16"/>
      <c r="V47" s="22"/>
      <c r="W47" s="23"/>
    </row>
    <row r="48" ht="22.5" hidden="1" customHeight="1" spans="2:23">
      <c r="B48" s="15"/>
      <c r="C48" s="16"/>
      <c r="D48" s="17"/>
      <c r="E48" s="18"/>
      <c r="F48" s="19"/>
      <c r="G48" s="16"/>
      <c r="H48" s="16"/>
      <c r="I48" s="20"/>
      <c r="J48" s="19"/>
      <c r="K48" s="20"/>
      <c r="L48" s="20"/>
      <c r="M48" s="20"/>
      <c r="N48" s="19"/>
      <c r="O48" s="20"/>
      <c r="P48" s="20"/>
      <c r="Q48" s="20"/>
      <c r="R48" s="20"/>
      <c r="S48" s="21"/>
      <c r="T48" s="16"/>
      <c r="U48" s="16"/>
      <c r="V48" s="22"/>
      <c r="W48" s="23"/>
    </row>
    <row r="49" ht="22.5" hidden="1" customHeight="1" spans="2:23">
      <c r="B49" s="15"/>
      <c r="C49" s="16"/>
      <c r="D49" s="17"/>
      <c r="E49" s="18"/>
      <c r="F49" s="19"/>
      <c r="G49" s="16"/>
      <c r="H49" s="16"/>
      <c r="I49" s="20"/>
      <c r="J49" s="19"/>
      <c r="K49" s="20"/>
      <c r="L49" s="20"/>
      <c r="M49" s="20"/>
      <c r="N49" s="19"/>
      <c r="O49" s="20"/>
      <c r="P49" s="20"/>
      <c r="Q49" s="20"/>
      <c r="R49" s="20"/>
      <c r="S49" s="21"/>
      <c r="T49" s="16"/>
      <c r="U49" s="16"/>
      <c r="V49" s="22"/>
      <c r="W49" s="23"/>
    </row>
    <row r="50" ht="22.5" hidden="1" customHeight="1" spans="2:23">
      <c r="B50" s="15"/>
      <c r="C50" s="16"/>
      <c r="D50" s="17"/>
      <c r="E50" s="18"/>
      <c r="F50" s="19"/>
      <c r="G50" s="16"/>
      <c r="H50" s="16"/>
      <c r="I50" s="20"/>
      <c r="J50" s="19"/>
      <c r="K50" s="20"/>
      <c r="L50" s="20"/>
      <c r="M50" s="20"/>
      <c r="N50" s="19"/>
      <c r="O50" s="20"/>
      <c r="P50" s="20"/>
      <c r="Q50" s="20"/>
      <c r="R50" s="20"/>
      <c r="S50" s="21"/>
      <c r="T50" s="16"/>
      <c r="U50" s="16"/>
      <c r="V50" s="22"/>
      <c r="W50" s="23"/>
    </row>
    <row r="51" ht="22.5" hidden="1" customHeight="1" spans="2:23">
      <c r="B51" s="15"/>
      <c r="C51" s="16"/>
      <c r="D51" s="17"/>
      <c r="E51" s="18"/>
      <c r="F51" s="19"/>
      <c r="G51" s="16"/>
      <c r="H51" s="16"/>
      <c r="I51" s="20"/>
      <c r="J51" s="19"/>
      <c r="K51" s="20"/>
      <c r="L51" s="20"/>
      <c r="M51" s="20"/>
      <c r="N51" s="19"/>
      <c r="O51" s="20"/>
      <c r="P51" s="20"/>
      <c r="Q51" s="20"/>
      <c r="R51" s="20"/>
      <c r="S51" s="21"/>
      <c r="T51" s="16"/>
      <c r="U51" s="16"/>
      <c r="V51" s="22"/>
      <c r="W51" s="23"/>
    </row>
    <row r="52" ht="22.5" hidden="1" customHeight="1" spans="2:23">
      <c r="B52" s="15"/>
      <c r="C52" s="16"/>
      <c r="D52" s="17"/>
      <c r="E52" s="18"/>
      <c r="F52" s="19"/>
      <c r="G52" s="16"/>
      <c r="H52" s="16"/>
      <c r="I52" s="20"/>
      <c r="J52" s="19"/>
      <c r="K52" s="20"/>
      <c r="L52" s="20"/>
      <c r="M52" s="20"/>
      <c r="N52" s="19"/>
      <c r="O52" s="20"/>
      <c r="P52" s="20"/>
      <c r="Q52" s="20"/>
      <c r="R52" s="20"/>
      <c r="S52" s="21"/>
      <c r="T52" s="16"/>
      <c r="U52" s="16"/>
      <c r="V52" s="22"/>
      <c r="W52" s="23"/>
    </row>
    <row r="53" ht="22.5" hidden="1" customHeight="1" spans="2:23">
      <c r="B53" s="15"/>
      <c r="C53" s="16"/>
      <c r="D53" s="17"/>
      <c r="E53" s="18"/>
      <c r="F53" s="19"/>
      <c r="G53" s="16"/>
      <c r="H53" s="16"/>
      <c r="I53" s="20"/>
      <c r="J53" s="19"/>
      <c r="K53" s="20"/>
      <c r="L53" s="20"/>
      <c r="M53" s="20"/>
      <c r="N53" s="19"/>
      <c r="O53" s="20"/>
      <c r="P53" s="20"/>
      <c r="Q53" s="20"/>
      <c r="R53" s="20"/>
      <c r="S53" s="21"/>
      <c r="T53" s="16"/>
      <c r="U53" s="16"/>
      <c r="V53" s="22"/>
      <c r="W53" s="23"/>
    </row>
    <row r="54" ht="22.5" hidden="1" customHeight="1" spans="2:23">
      <c r="B54" s="15"/>
      <c r="C54" s="16"/>
      <c r="D54" s="17"/>
      <c r="E54" s="18"/>
      <c r="F54" s="19"/>
      <c r="G54" s="16"/>
      <c r="H54" s="16"/>
      <c r="I54" s="20"/>
      <c r="J54" s="19"/>
      <c r="K54" s="20"/>
      <c r="L54" s="20"/>
      <c r="M54" s="20"/>
      <c r="N54" s="19"/>
      <c r="O54" s="20"/>
      <c r="P54" s="20"/>
      <c r="Q54" s="20"/>
      <c r="R54" s="20"/>
      <c r="S54" s="21"/>
      <c r="T54" s="16"/>
      <c r="U54" s="16"/>
      <c r="V54" s="22"/>
      <c r="W54" s="23"/>
    </row>
    <row r="55" ht="22.5" hidden="1" customHeight="1" spans="2:23">
      <c r="B55" s="15"/>
      <c r="C55" s="16"/>
      <c r="D55" s="17"/>
      <c r="E55" s="18"/>
      <c r="F55" s="19"/>
      <c r="G55" s="16"/>
      <c r="H55" s="16"/>
      <c r="I55" s="20"/>
      <c r="J55" s="19"/>
      <c r="K55" s="20"/>
      <c r="L55" s="20"/>
      <c r="M55" s="20"/>
      <c r="N55" s="19"/>
      <c r="O55" s="20"/>
      <c r="P55" s="20"/>
      <c r="Q55" s="20"/>
      <c r="R55" s="20"/>
      <c r="S55" s="21"/>
      <c r="T55" s="16"/>
      <c r="U55" s="16"/>
      <c r="V55" s="22"/>
      <c r="W55" s="23"/>
    </row>
    <row r="56" ht="22.5" hidden="1" customHeight="1" spans="2:23">
      <c r="B56" s="15"/>
      <c r="C56" s="16"/>
      <c r="D56" s="17"/>
      <c r="E56" s="18"/>
      <c r="F56" s="19"/>
      <c r="G56" s="16"/>
      <c r="H56" s="16"/>
      <c r="I56" s="20"/>
      <c r="J56" s="19"/>
      <c r="K56" s="20"/>
      <c r="L56" s="20"/>
      <c r="M56" s="20"/>
      <c r="N56" s="19"/>
      <c r="O56" s="20"/>
      <c r="P56" s="20"/>
      <c r="Q56" s="20"/>
      <c r="R56" s="20"/>
      <c r="S56" s="21"/>
      <c r="T56" s="16"/>
      <c r="U56" s="16"/>
      <c r="V56" s="22"/>
      <c r="W56" s="23"/>
    </row>
    <row r="57" ht="22.5" hidden="1" customHeight="1" spans="2:23">
      <c r="B57" s="15"/>
      <c r="C57" s="16"/>
      <c r="D57" s="17"/>
      <c r="E57" s="18"/>
      <c r="F57" s="19"/>
      <c r="G57" s="16"/>
      <c r="H57" s="16"/>
      <c r="I57" s="20"/>
      <c r="J57" s="19"/>
      <c r="K57" s="20"/>
      <c r="L57" s="20"/>
      <c r="M57" s="20"/>
      <c r="N57" s="19"/>
      <c r="O57" s="20"/>
      <c r="P57" s="20"/>
      <c r="Q57" s="20"/>
      <c r="R57" s="20"/>
      <c r="S57" s="21"/>
      <c r="T57" s="16"/>
      <c r="U57" s="16"/>
      <c r="V57" s="22"/>
      <c r="W57" s="23"/>
    </row>
    <row r="58" ht="22.5" hidden="1" customHeight="1" spans="2:23">
      <c r="B58" s="15"/>
      <c r="C58" s="16"/>
      <c r="D58" s="17"/>
      <c r="E58" s="18"/>
      <c r="F58" s="19"/>
      <c r="G58" s="16"/>
      <c r="H58" s="16"/>
      <c r="I58" s="20"/>
      <c r="J58" s="19"/>
      <c r="K58" s="20"/>
      <c r="L58" s="20"/>
      <c r="M58" s="20"/>
      <c r="N58" s="19"/>
      <c r="O58" s="20"/>
      <c r="P58" s="20"/>
      <c r="Q58" s="20"/>
      <c r="R58" s="20"/>
      <c r="S58" s="21"/>
      <c r="T58" s="16"/>
      <c r="U58" s="16"/>
      <c r="V58" s="22"/>
      <c r="W58" s="23"/>
    </row>
    <row r="59" ht="22.5" hidden="1" customHeight="1" spans="2:23">
      <c r="B59" s="15"/>
      <c r="C59" s="16"/>
      <c r="D59" s="17"/>
      <c r="E59" s="18"/>
      <c r="F59" s="19"/>
      <c r="G59" s="16"/>
      <c r="H59" s="16"/>
      <c r="I59" s="20"/>
      <c r="J59" s="19"/>
      <c r="K59" s="20"/>
      <c r="L59" s="20"/>
      <c r="M59" s="20"/>
      <c r="N59" s="19"/>
      <c r="O59" s="20"/>
      <c r="P59" s="20"/>
      <c r="Q59" s="20"/>
      <c r="R59" s="20"/>
      <c r="S59" s="21"/>
      <c r="T59" s="16"/>
      <c r="U59" s="16"/>
      <c r="V59" s="22"/>
      <c r="W59" s="23"/>
    </row>
    <row r="60" ht="22.5" hidden="1" customHeight="1" spans="2:23">
      <c r="B60" s="15"/>
      <c r="C60" s="16"/>
      <c r="D60" s="17"/>
      <c r="E60" s="18"/>
      <c r="F60" s="19"/>
      <c r="G60" s="16"/>
      <c r="H60" s="16"/>
      <c r="I60" s="20"/>
      <c r="J60" s="19"/>
      <c r="K60" s="20"/>
      <c r="L60" s="20"/>
      <c r="M60" s="20"/>
      <c r="N60" s="19"/>
      <c r="O60" s="20"/>
      <c r="P60" s="20"/>
      <c r="Q60" s="20"/>
      <c r="R60" s="20"/>
      <c r="S60" s="21"/>
      <c r="T60" s="16"/>
      <c r="U60" s="16"/>
      <c r="V60" s="22"/>
      <c r="W60" s="23"/>
    </row>
    <row r="61" ht="22.5" hidden="1" customHeight="1" spans="2:23">
      <c r="B61" s="15"/>
      <c r="C61" s="16"/>
      <c r="D61" s="17"/>
      <c r="E61" s="18"/>
      <c r="F61" s="19"/>
      <c r="G61" s="16"/>
      <c r="H61" s="16"/>
      <c r="I61" s="20"/>
      <c r="J61" s="19"/>
      <c r="K61" s="20"/>
      <c r="L61" s="20"/>
      <c r="M61" s="20"/>
      <c r="N61" s="19"/>
      <c r="O61" s="20"/>
      <c r="P61" s="20"/>
      <c r="Q61" s="20"/>
      <c r="R61" s="20"/>
      <c r="S61" s="21"/>
      <c r="T61" s="16"/>
      <c r="U61" s="16"/>
      <c r="V61" s="22"/>
      <c r="W61" s="23"/>
    </row>
    <row r="62" ht="22.5" hidden="1" customHeight="1" spans="2:23">
      <c r="B62" s="15"/>
      <c r="C62" s="16"/>
      <c r="D62" s="17"/>
      <c r="E62" s="18"/>
      <c r="F62" s="19"/>
      <c r="G62" s="16"/>
      <c r="H62" s="16"/>
      <c r="I62" s="20"/>
      <c r="J62" s="19"/>
      <c r="K62" s="20"/>
      <c r="L62" s="20"/>
      <c r="M62" s="20"/>
      <c r="N62" s="19"/>
      <c r="O62" s="20"/>
      <c r="P62" s="20"/>
      <c r="Q62" s="20"/>
      <c r="R62" s="20"/>
      <c r="S62" s="21"/>
      <c r="T62" s="16"/>
      <c r="U62" s="16"/>
      <c r="V62" s="22"/>
      <c r="W62" s="23"/>
    </row>
    <row r="63" ht="22.5" hidden="1" customHeight="1" spans="2:23">
      <c r="B63" s="15"/>
      <c r="C63" s="16"/>
      <c r="D63" s="17"/>
      <c r="E63" s="18"/>
      <c r="F63" s="19"/>
      <c r="G63" s="16"/>
      <c r="H63" s="16"/>
      <c r="I63" s="20"/>
      <c r="J63" s="19"/>
      <c r="K63" s="20"/>
      <c r="L63" s="20"/>
      <c r="M63" s="20"/>
      <c r="N63" s="19"/>
      <c r="O63" s="20"/>
      <c r="P63" s="20"/>
      <c r="Q63" s="20"/>
      <c r="R63" s="20"/>
      <c r="S63" s="21"/>
      <c r="T63" s="16"/>
      <c r="U63" s="16"/>
      <c r="V63" s="22"/>
      <c r="W63" s="23"/>
    </row>
    <row r="64" ht="22.5" hidden="1" customHeight="1" spans="2:23">
      <c r="B64" s="15"/>
      <c r="C64" s="16"/>
      <c r="D64" s="17"/>
      <c r="E64" s="18"/>
      <c r="F64" s="19"/>
      <c r="G64" s="16"/>
      <c r="H64" s="16"/>
      <c r="I64" s="20"/>
      <c r="J64" s="19"/>
      <c r="K64" s="20"/>
      <c r="L64" s="20"/>
      <c r="M64" s="20"/>
      <c r="N64" s="19"/>
      <c r="O64" s="20"/>
      <c r="P64" s="20"/>
      <c r="Q64" s="20"/>
      <c r="R64" s="20"/>
      <c r="S64" s="21"/>
      <c r="T64" s="16"/>
      <c r="U64" s="16"/>
      <c r="V64" s="22"/>
      <c r="W64" s="23"/>
    </row>
    <row r="65" ht="22.5" hidden="1" customHeight="1" spans="2:23">
      <c r="B65" s="15"/>
      <c r="C65" s="16"/>
      <c r="D65" s="17"/>
      <c r="E65" s="18"/>
      <c r="F65" s="19"/>
      <c r="G65" s="16"/>
      <c r="H65" s="16"/>
      <c r="I65" s="20"/>
      <c r="J65" s="19"/>
      <c r="K65" s="20"/>
      <c r="L65" s="20"/>
      <c r="M65" s="20"/>
      <c r="N65" s="19"/>
      <c r="O65" s="20"/>
      <c r="P65" s="20"/>
      <c r="Q65" s="20"/>
      <c r="R65" s="20"/>
      <c r="S65" s="21"/>
      <c r="T65" s="16"/>
      <c r="U65" s="16"/>
      <c r="V65" s="22"/>
      <c r="W65" s="23"/>
    </row>
    <row r="66" ht="22.5" hidden="1" customHeight="1" spans="2:23">
      <c r="B66" s="15"/>
      <c r="C66" s="16"/>
      <c r="D66" s="17"/>
      <c r="E66" s="18"/>
      <c r="F66" s="19"/>
      <c r="G66" s="16"/>
      <c r="H66" s="16"/>
      <c r="I66" s="20"/>
      <c r="J66" s="19"/>
      <c r="K66" s="20"/>
      <c r="L66" s="20"/>
      <c r="M66" s="20"/>
      <c r="N66" s="19"/>
      <c r="O66" s="20"/>
      <c r="P66" s="20"/>
      <c r="Q66" s="20"/>
      <c r="R66" s="20"/>
      <c r="S66" s="21"/>
      <c r="T66" s="16"/>
      <c r="U66" s="16"/>
      <c r="V66" s="22"/>
      <c r="W66" s="23"/>
    </row>
    <row r="67" ht="22.5" hidden="1" customHeight="1" spans="2:23">
      <c r="B67" s="15"/>
      <c r="C67" s="16"/>
      <c r="D67" s="17"/>
      <c r="E67" s="18"/>
      <c r="F67" s="19"/>
      <c r="G67" s="16"/>
      <c r="H67" s="16"/>
      <c r="I67" s="20"/>
      <c r="J67" s="19"/>
      <c r="K67" s="20"/>
      <c r="L67" s="20"/>
      <c r="M67" s="20"/>
      <c r="N67" s="19"/>
      <c r="O67" s="20"/>
      <c r="P67" s="20"/>
      <c r="Q67" s="20"/>
      <c r="R67" s="20"/>
      <c r="S67" s="21"/>
      <c r="T67" s="16"/>
      <c r="U67" s="16"/>
      <c r="V67" s="22"/>
      <c r="W67" s="23"/>
    </row>
    <row r="68" ht="22.5" hidden="1" customHeight="1" spans="2:23">
      <c r="B68" s="15"/>
      <c r="C68" s="16"/>
      <c r="D68" s="17"/>
      <c r="E68" s="18"/>
      <c r="F68" s="19"/>
      <c r="G68" s="16"/>
      <c r="H68" s="16"/>
      <c r="I68" s="20"/>
      <c r="J68" s="19"/>
      <c r="K68" s="20"/>
      <c r="L68" s="20"/>
      <c r="M68" s="20"/>
      <c r="N68" s="19"/>
      <c r="O68" s="20"/>
      <c r="P68" s="20"/>
      <c r="Q68" s="20"/>
      <c r="R68" s="20"/>
      <c r="S68" s="21"/>
      <c r="T68" s="16"/>
      <c r="U68" s="16"/>
      <c r="V68" s="22"/>
      <c r="W68" s="23"/>
    </row>
    <row r="69" ht="22.5" hidden="1" customHeight="1" spans="2:23">
      <c r="B69" s="15"/>
      <c r="C69" s="16"/>
      <c r="D69" s="17"/>
      <c r="E69" s="18"/>
      <c r="F69" s="19"/>
      <c r="G69" s="16"/>
      <c r="H69" s="16"/>
      <c r="I69" s="20"/>
      <c r="J69" s="19"/>
      <c r="K69" s="20"/>
      <c r="L69" s="20"/>
      <c r="M69" s="20"/>
      <c r="N69" s="19"/>
      <c r="O69" s="20"/>
      <c r="P69" s="20"/>
      <c r="Q69" s="20"/>
      <c r="R69" s="20"/>
      <c r="S69" s="21"/>
      <c r="T69" s="16"/>
      <c r="U69" s="16"/>
      <c r="V69" s="22"/>
      <c r="W69" s="23"/>
    </row>
    <row r="70" ht="22.5" hidden="1" customHeight="1" spans="2:23">
      <c r="B70" s="15"/>
      <c r="C70" s="16"/>
      <c r="D70" s="17"/>
      <c r="E70" s="18"/>
      <c r="F70" s="19"/>
      <c r="G70" s="16"/>
      <c r="H70" s="16"/>
      <c r="I70" s="20"/>
      <c r="J70" s="19"/>
      <c r="K70" s="20"/>
      <c r="L70" s="20"/>
      <c r="M70" s="20"/>
      <c r="N70" s="19"/>
      <c r="O70" s="20"/>
      <c r="P70" s="20"/>
      <c r="Q70" s="20"/>
      <c r="R70" s="20"/>
      <c r="S70" s="21"/>
      <c r="T70" s="16"/>
      <c r="U70" s="16"/>
      <c r="V70" s="22"/>
      <c r="W70" s="23"/>
    </row>
    <row r="71" ht="22.5" hidden="1" customHeight="1" spans="2:23">
      <c r="B71" s="15"/>
      <c r="C71" s="16"/>
      <c r="D71" s="17"/>
      <c r="E71" s="18"/>
      <c r="F71" s="19"/>
      <c r="G71" s="16"/>
      <c r="H71" s="16"/>
      <c r="I71" s="20"/>
      <c r="J71" s="19"/>
      <c r="K71" s="20"/>
      <c r="L71" s="20"/>
      <c r="M71" s="20"/>
      <c r="N71" s="19"/>
      <c r="O71" s="20"/>
      <c r="P71" s="20"/>
      <c r="Q71" s="20"/>
      <c r="R71" s="20"/>
      <c r="S71" s="21"/>
      <c r="T71" s="16"/>
      <c r="U71" s="16"/>
      <c r="V71" s="22"/>
      <c r="W71" s="23"/>
    </row>
    <row r="72" ht="22.5" hidden="1" customHeight="1" spans="2:23">
      <c r="B72" s="15"/>
      <c r="C72" s="16"/>
      <c r="D72" s="17"/>
      <c r="E72" s="18"/>
      <c r="F72" s="19"/>
      <c r="G72" s="16"/>
      <c r="H72" s="16"/>
      <c r="I72" s="20"/>
      <c r="J72" s="19"/>
      <c r="K72" s="20"/>
      <c r="L72" s="20"/>
      <c r="M72" s="20"/>
      <c r="N72" s="19"/>
      <c r="O72" s="20"/>
      <c r="P72" s="20"/>
      <c r="Q72" s="20"/>
      <c r="R72" s="20"/>
      <c r="S72" s="21"/>
      <c r="T72" s="16"/>
      <c r="U72" s="16"/>
      <c r="V72" s="22"/>
      <c r="W72" s="23"/>
    </row>
    <row r="73" ht="22.5" hidden="1" customHeight="1" spans="2:23">
      <c r="B73" s="15"/>
      <c r="C73" s="16"/>
      <c r="D73" s="17"/>
      <c r="E73" s="18"/>
      <c r="F73" s="19"/>
      <c r="G73" s="16"/>
      <c r="H73" s="16"/>
      <c r="I73" s="20"/>
      <c r="J73" s="19"/>
      <c r="K73" s="20"/>
      <c r="L73" s="20"/>
      <c r="M73" s="20"/>
      <c r="N73" s="19"/>
      <c r="O73" s="20"/>
      <c r="P73" s="20"/>
      <c r="Q73" s="20"/>
      <c r="R73" s="20"/>
      <c r="S73" s="21"/>
      <c r="T73" s="16"/>
      <c r="U73" s="16"/>
      <c r="V73" s="22"/>
      <c r="W73" s="23"/>
    </row>
    <row r="74" ht="22.5" hidden="1" customHeight="1" spans="2:23">
      <c r="B74" s="15"/>
      <c r="C74" s="16"/>
      <c r="D74" s="17"/>
      <c r="E74" s="18"/>
      <c r="F74" s="19"/>
      <c r="G74" s="16"/>
      <c r="H74" s="16"/>
      <c r="I74" s="20"/>
      <c r="J74" s="19"/>
      <c r="K74" s="20"/>
      <c r="L74" s="20"/>
      <c r="M74" s="20"/>
      <c r="N74" s="19"/>
      <c r="O74" s="20"/>
      <c r="P74" s="20"/>
      <c r="Q74" s="20"/>
      <c r="R74" s="20"/>
      <c r="S74" s="21"/>
      <c r="T74" s="16"/>
      <c r="U74" s="16"/>
      <c r="V74" s="22"/>
      <c r="W74" s="23"/>
    </row>
    <row r="75" ht="22.5" hidden="1" customHeight="1" spans="2:23">
      <c r="B75" s="15"/>
      <c r="C75" s="16"/>
      <c r="D75" s="17"/>
      <c r="E75" s="18"/>
      <c r="F75" s="19"/>
      <c r="G75" s="16"/>
      <c r="H75" s="16"/>
      <c r="I75" s="20"/>
      <c r="J75" s="19"/>
      <c r="K75" s="20"/>
      <c r="L75" s="20"/>
      <c r="M75" s="20"/>
      <c r="N75" s="19"/>
      <c r="O75" s="20"/>
      <c r="P75" s="20"/>
      <c r="Q75" s="20"/>
      <c r="R75" s="20"/>
      <c r="S75" s="21"/>
      <c r="T75" s="16"/>
      <c r="U75" s="16"/>
      <c r="V75" s="22"/>
      <c r="W75" s="23"/>
    </row>
    <row r="76" ht="22.5" hidden="1" customHeight="1" spans="2:23">
      <c r="B76" s="15"/>
      <c r="C76" s="16"/>
      <c r="D76" s="17"/>
      <c r="E76" s="18"/>
      <c r="F76" s="19"/>
      <c r="G76" s="16"/>
      <c r="H76" s="16"/>
      <c r="I76" s="20"/>
      <c r="J76" s="19"/>
      <c r="K76" s="20"/>
      <c r="L76" s="20"/>
      <c r="M76" s="20"/>
      <c r="N76" s="19"/>
      <c r="O76" s="20"/>
      <c r="P76" s="20"/>
      <c r="Q76" s="20"/>
      <c r="R76" s="20"/>
      <c r="S76" s="21"/>
      <c r="T76" s="16"/>
      <c r="U76" s="16"/>
      <c r="V76" s="22"/>
      <c r="W76" s="23"/>
    </row>
    <row r="77" ht="22.5" hidden="1" customHeight="1" spans="2:23">
      <c r="B77" s="15"/>
      <c r="C77" s="16"/>
      <c r="D77" s="17"/>
      <c r="E77" s="18"/>
      <c r="F77" s="19"/>
      <c r="G77" s="16"/>
      <c r="H77" s="16"/>
      <c r="I77" s="20"/>
      <c r="J77" s="19"/>
      <c r="K77" s="20"/>
      <c r="L77" s="20"/>
      <c r="M77" s="20"/>
      <c r="N77" s="19"/>
      <c r="O77" s="20"/>
      <c r="P77" s="20"/>
      <c r="Q77" s="20"/>
      <c r="R77" s="20"/>
      <c r="S77" s="21"/>
      <c r="T77" s="16"/>
      <c r="U77" s="16"/>
      <c r="V77" s="22"/>
      <c r="W77" s="23"/>
    </row>
    <row r="78" ht="22.5" hidden="1" customHeight="1" spans="2:23">
      <c r="B78" s="15"/>
      <c r="C78" s="16"/>
      <c r="D78" s="17"/>
      <c r="E78" s="18"/>
      <c r="F78" s="19"/>
      <c r="G78" s="16"/>
      <c r="H78" s="16"/>
      <c r="I78" s="20"/>
      <c r="J78" s="19"/>
      <c r="K78" s="20"/>
      <c r="L78" s="20"/>
      <c r="M78" s="20"/>
      <c r="N78" s="19"/>
      <c r="O78" s="20"/>
      <c r="P78" s="20"/>
      <c r="Q78" s="20"/>
      <c r="R78" s="20"/>
      <c r="S78" s="21"/>
      <c r="T78" s="16"/>
      <c r="U78" s="16"/>
      <c r="V78" s="22"/>
      <c r="W78" s="23"/>
    </row>
    <row r="79" ht="22.5" hidden="1" customHeight="1" spans="2:23">
      <c r="B79" s="15"/>
      <c r="C79" s="16"/>
      <c r="D79" s="17"/>
      <c r="E79" s="18"/>
      <c r="F79" s="19"/>
      <c r="G79" s="16"/>
      <c r="H79" s="16"/>
      <c r="I79" s="20"/>
      <c r="J79" s="19"/>
      <c r="K79" s="20"/>
      <c r="L79" s="20"/>
      <c r="M79" s="20"/>
      <c r="N79" s="19"/>
      <c r="O79" s="20"/>
      <c r="P79" s="20"/>
      <c r="Q79" s="20"/>
      <c r="R79" s="20"/>
      <c r="S79" s="21"/>
      <c r="T79" s="16"/>
      <c r="U79" s="16"/>
      <c r="V79" s="22"/>
      <c r="W79" s="23"/>
    </row>
    <row r="80" ht="22.5" hidden="1" customHeight="1" spans="2:23">
      <c r="B80" s="15"/>
      <c r="C80" s="16"/>
      <c r="D80" s="17"/>
      <c r="E80" s="18"/>
      <c r="F80" s="19"/>
      <c r="G80" s="16"/>
      <c r="H80" s="16"/>
      <c r="I80" s="20"/>
      <c r="J80" s="19"/>
      <c r="K80" s="20"/>
      <c r="L80" s="20"/>
      <c r="M80" s="20"/>
      <c r="N80" s="19"/>
      <c r="O80" s="20"/>
      <c r="P80" s="20"/>
      <c r="Q80" s="20"/>
      <c r="R80" s="20"/>
      <c r="S80" s="21"/>
      <c r="T80" s="16"/>
      <c r="U80" s="16"/>
      <c r="V80" s="22"/>
      <c r="W80" s="23"/>
    </row>
    <row r="81" ht="22.5" hidden="1" customHeight="1" spans="2:23">
      <c r="B81" s="15"/>
      <c r="C81" s="16"/>
      <c r="D81" s="17"/>
      <c r="E81" s="18"/>
      <c r="F81" s="19"/>
      <c r="G81" s="16"/>
      <c r="H81" s="16"/>
      <c r="I81" s="20"/>
      <c r="J81" s="19"/>
      <c r="K81" s="20"/>
      <c r="L81" s="20"/>
      <c r="M81" s="20"/>
      <c r="N81" s="19"/>
      <c r="O81" s="20"/>
      <c r="P81" s="20"/>
      <c r="Q81" s="20"/>
      <c r="R81" s="20"/>
      <c r="S81" s="21"/>
      <c r="T81" s="16"/>
      <c r="U81" s="16"/>
      <c r="V81" s="22"/>
      <c r="W81" s="23"/>
    </row>
    <row r="82" ht="22.5" hidden="1" customHeight="1" spans="2:23">
      <c r="B82" s="15"/>
      <c r="C82" s="16"/>
      <c r="D82" s="17"/>
      <c r="E82" s="18"/>
      <c r="F82" s="19"/>
      <c r="G82" s="16"/>
      <c r="H82" s="16"/>
      <c r="I82" s="20"/>
      <c r="J82" s="19"/>
      <c r="K82" s="20"/>
      <c r="L82" s="20"/>
      <c r="M82" s="20"/>
      <c r="N82" s="19"/>
      <c r="O82" s="20"/>
      <c r="P82" s="20"/>
      <c r="Q82" s="20"/>
      <c r="R82" s="20"/>
      <c r="S82" s="21"/>
      <c r="T82" s="16"/>
      <c r="U82" s="16"/>
      <c r="V82" s="22"/>
      <c r="W82" s="23"/>
    </row>
    <row r="83" ht="22.5" hidden="1" customHeight="1" spans="2:23">
      <c r="B83" s="15"/>
      <c r="C83" s="16"/>
      <c r="D83" s="17"/>
      <c r="E83" s="18"/>
      <c r="F83" s="19"/>
      <c r="G83" s="16"/>
      <c r="H83" s="16"/>
      <c r="I83" s="20"/>
      <c r="J83" s="19"/>
      <c r="K83" s="20"/>
      <c r="L83" s="20"/>
      <c r="M83" s="20"/>
      <c r="N83" s="19"/>
      <c r="O83" s="20"/>
      <c r="P83" s="20"/>
      <c r="Q83" s="20"/>
      <c r="R83" s="20"/>
      <c r="S83" s="21"/>
      <c r="T83" s="16"/>
      <c r="U83" s="16"/>
      <c r="V83" s="22"/>
      <c r="W83" s="23"/>
    </row>
    <row r="84" ht="22.5" hidden="1" customHeight="1" spans="2:23">
      <c r="B84" s="15"/>
      <c r="C84" s="16"/>
      <c r="D84" s="17"/>
      <c r="E84" s="18"/>
      <c r="F84" s="19"/>
      <c r="G84" s="16"/>
      <c r="H84" s="16"/>
      <c r="I84" s="20"/>
      <c r="J84" s="19"/>
      <c r="K84" s="20"/>
      <c r="L84" s="20"/>
      <c r="M84" s="20"/>
      <c r="N84" s="19"/>
      <c r="O84" s="20"/>
      <c r="P84" s="20"/>
      <c r="Q84" s="20"/>
      <c r="R84" s="20"/>
      <c r="S84" s="21"/>
      <c r="T84" s="16"/>
      <c r="U84" s="16"/>
      <c r="V84" s="22"/>
      <c r="W84" s="23"/>
    </row>
    <row r="85" ht="22.5" hidden="1" customHeight="1" spans="2:23">
      <c r="B85" s="15"/>
      <c r="C85" s="16"/>
      <c r="D85" s="17"/>
      <c r="E85" s="18"/>
      <c r="F85" s="19"/>
      <c r="G85" s="16"/>
      <c r="H85" s="16"/>
      <c r="I85" s="20"/>
      <c r="J85" s="19"/>
      <c r="K85" s="20"/>
      <c r="L85" s="20"/>
      <c r="M85" s="20"/>
      <c r="N85" s="19"/>
      <c r="O85" s="20"/>
      <c r="P85" s="20"/>
      <c r="Q85" s="20"/>
      <c r="R85" s="20"/>
      <c r="S85" s="21"/>
      <c r="T85" s="16"/>
      <c r="U85" s="16"/>
      <c r="V85" s="22"/>
      <c r="W85" s="23"/>
    </row>
    <row r="86" ht="22.5" hidden="1" customHeight="1" spans="2:23">
      <c r="B86" s="15"/>
      <c r="C86" s="16"/>
      <c r="D86" s="17"/>
      <c r="E86" s="18"/>
      <c r="F86" s="19"/>
      <c r="G86" s="16"/>
      <c r="H86" s="16"/>
      <c r="I86" s="20"/>
      <c r="J86" s="19"/>
      <c r="K86" s="20"/>
      <c r="L86" s="20"/>
      <c r="M86" s="20"/>
      <c r="N86" s="19"/>
      <c r="O86" s="20"/>
      <c r="P86" s="20"/>
      <c r="Q86" s="20"/>
      <c r="R86" s="20"/>
      <c r="S86" s="21"/>
      <c r="T86" s="16"/>
      <c r="U86" s="16"/>
      <c r="V86" s="22"/>
      <c r="W86" s="23"/>
    </row>
    <row r="87" ht="22.5" hidden="1" customHeight="1" spans="2:23">
      <c r="B87" s="15"/>
      <c r="C87" s="16"/>
      <c r="D87" s="17"/>
      <c r="E87" s="18"/>
      <c r="F87" s="19"/>
      <c r="G87" s="16"/>
      <c r="H87" s="16"/>
      <c r="I87" s="20"/>
      <c r="J87" s="19"/>
      <c r="K87" s="20"/>
      <c r="L87" s="20"/>
      <c r="M87" s="20"/>
      <c r="N87" s="19"/>
      <c r="O87" s="20"/>
      <c r="P87" s="20"/>
      <c r="Q87" s="20"/>
      <c r="R87" s="20"/>
      <c r="S87" s="21"/>
      <c r="T87" s="16"/>
      <c r="U87" s="16"/>
      <c r="V87" s="22"/>
      <c r="W87" s="23"/>
    </row>
    <row r="88" ht="22.5" hidden="1" customHeight="1" spans="2:23">
      <c r="B88" s="15"/>
      <c r="C88" s="16"/>
      <c r="D88" s="17"/>
      <c r="E88" s="18"/>
      <c r="F88" s="19"/>
      <c r="G88" s="16"/>
      <c r="H88" s="16"/>
      <c r="I88" s="20"/>
      <c r="J88" s="19"/>
      <c r="K88" s="20"/>
      <c r="L88" s="20"/>
      <c r="M88" s="20"/>
      <c r="N88" s="19"/>
      <c r="O88" s="20"/>
      <c r="P88" s="20"/>
      <c r="Q88" s="20"/>
      <c r="R88" s="20"/>
      <c r="S88" s="21"/>
      <c r="T88" s="16"/>
      <c r="U88" s="16"/>
      <c r="V88" s="22"/>
      <c r="W88" s="23"/>
    </row>
    <row r="89" ht="22.5" hidden="1" customHeight="1" spans="2:23">
      <c r="B89" s="15"/>
      <c r="C89" s="16"/>
      <c r="D89" s="17"/>
      <c r="E89" s="18"/>
      <c r="F89" s="19"/>
      <c r="G89" s="16"/>
      <c r="H89" s="16"/>
      <c r="I89" s="20"/>
      <c r="J89" s="19"/>
      <c r="K89" s="20"/>
      <c r="L89" s="20"/>
      <c r="M89" s="20"/>
      <c r="N89" s="19"/>
      <c r="O89" s="20"/>
      <c r="P89" s="20"/>
      <c r="Q89" s="20"/>
      <c r="R89" s="20"/>
      <c r="S89" s="21"/>
      <c r="T89" s="16"/>
      <c r="U89" s="16"/>
      <c r="V89" s="22"/>
      <c r="W89" s="23"/>
    </row>
    <row r="90" ht="22.5" hidden="1" customHeight="1" spans="2:23">
      <c r="B90" s="15"/>
      <c r="C90" s="16"/>
      <c r="D90" s="17"/>
      <c r="E90" s="18"/>
      <c r="F90" s="19"/>
      <c r="G90" s="16"/>
      <c r="H90" s="16"/>
      <c r="I90" s="20"/>
      <c r="J90" s="19"/>
      <c r="K90" s="20"/>
      <c r="L90" s="20"/>
      <c r="M90" s="20"/>
      <c r="N90" s="19"/>
      <c r="O90" s="20"/>
      <c r="P90" s="20"/>
      <c r="Q90" s="20"/>
      <c r="R90" s="20"/>
      <c r="S90" s="21"/>
      <c r="T90" s="16"/>
      <c r="U90" s="16"/>
      <c r="V90" s="22"/>
      <c r="W90" s="23"/>
    </row>
    <row r="91" ht="22.5" hidden="1" customHeight="1" spans="2:23">
      <c r="B91" s="15"/>
      <c r="C91" s="16"/>
      <c r="D91" s="17"/>
      <c r="E91" s="18"/>
      <c r="F91" s="19"/>
      <c r="G91" s="16"/>
      <c r="H91" s="16"/>
      <c r="I91" s="20"/>
      <c r="J91" s="19"/>
      <c r="K91" s="20"/>
      <c r="L91" s="20"/>
      <c r="M91" s="20"/>
      <c r="N91" s="19"/>
      <c r="O91" s="20"/>
      <c r="P91" s="20"/>
      <c r="Q91" s="20"/>
      <c r="R91" s="20"/>
      <c r="S91" s="21"/>
      <c r="T91" s="16"/>
      <c r="U91" s="16"/>
      <c r="V91" s="22"/>
      <c r="W91" s="23"/>
    </row>
    <row r="92" ht="22.5" hidden="1" customHeight="1" spans="2:23">
      <c r="B92" s="15"/>
      <c r="C92" s="16"/>
      <c r="D92" s="17"/>
      <c r="E92" s="18"/>
      <c r="F92" s="19"/>
      <c r="G92" s="16"/>
      <c r="H92" s="16"/>
      <c r="I92" s="20"/>
      <c r="J92" s="19"/>
      <c r="K92" s="20"/>
      <c r="L92" s="20"/>
      <c r="M92" s="20"/>
      <c r="N92" s="19"/>
      <c r="O92" s="20"/>
      <c r="P92" s="20"/>
      <c r="Q92" s="20"/>
      <c r="R92" s="20"/>
      <c r="S92" s="21"/>
      <c r="T92" s="16"/>
      <c r="U92" s="16"/>
      <c r="V92" s="22"/>
      <c r="W92" s="23"/>
    </row>
    <row r="93" ht="22.5" hidden="1" customHeight="1" spans="2:23">
      <c r="B93" s="15"/>
      <c r="C93" s="16"/>
      <c r="D93" s="17"/>
      <c r="E93" s="18"/>
      <c r="F93" s="19"/>
      <c r="G93" s="16"/>
      <c r="H93" s="16"/>
      <c r="I93" s="20"/>
      <c r="J93" s="19"/>
      <c r="K93" s="20"/>
      <c r="L93" s="20"/>
      <c r="M93" s="20"/>
      <c r="N93" s="19"/>
      <c r="O93" s="20"/>
      <c r="P93" s="20"/>
      <c r="Q93" s="20"/>
      <c r="R93" s="20"/>
      <c r="S93" s="21"/>
      <c r="T93" s="16"/>
      <c r="U93" s="16"/>
      <c r="V93" s="22"/>
      <c r="W93" s="23"/>
    </row>
    <row r="94" ht="22.5" hidden="1" customHeight="1" spans="2:23">
      <c r="B94" s="15"/>
      <c r="C94" s="16"/>
      <c r="D94" s="17"/>
      <c r="E94" s="18"/>
      <c r="F94" s="19"/>
      <c r="G94" s="16"/>
      <c r="H94" s="16"/>
      <c r="I94" s="20"/>
      <c r="J94" s="19"/>
      <c r="K94" s="20"/>
      <c r="L94" s="20"/>
      <c r="M94" s="20"/>
      <c r="N94" s="19"/>
      <c r="O94" s="20"/>
      <c r="P94" s="20"/>
      <c r="Q94" s="20"/>
      <c r="R94" s="20"/>
      <c r="S94" s="21"/>
      <c r="T94" s="16"/>
      <c r="U94" s="16"/>
      <c r="V94" s="22"/>
      <c r="W94" s="23"/>
    </row>
    <row r="95" ht="22.5" hidden="1" customHeight="1" spans="2:23">
      <c r="B95" s="15"/>
      <c r="C95" s="16"/>
      <c r="D95" s="17"/>
      <c r="E95" s="18"/>
      <c r="F95" s="19"/>
      <c r="G95" s="16"/>
      <c r="H95" s="16"/>
      <c r="I95" s="20"/>
      <c r="J95" s="19"/>
      <c r="K95" s="20"/>
      <c r="L95" s="20"/>
      <c r="M95" s="20"/>
      <c r="N95" s="19"/>
      <c r="O95" s="20"/>
      <c r="P95" s="20"/>
      <c r="Q95" s="20"/>
      <c r="R95" s="20"/>
      <c r="S95" s="21"/>
      <c r="T95" s="16"/>
      <c r="U95" s="16"/>
      <c r="V95" s="22"/>
      <c r="W95" s="23"/>
    </row>
    <row r="96" ht="22.5" hidden="1" customHeight="1" spans="2:23">
      <c r="B96" s="15"/>
      <c r="C96" s="16"/>
      <c r="D96" s="17"/>
      <c r="E96" s="18"/>
      <c r="F96" s="19"/>
      <c r="G96" s="16"/>
      <c r="H96" s="16"/>
      <c r="I96" s="20"/>
      <c r="J96" s="19"/>
      <c r="K96" s="20"/>
      <c r="L96" s="20"/>
      <c r="M96" s="20"/>
      <c r="N96" s="19"/>
      <c r="O96" s="20"/>
      <c r="P96" s="20"/>
      <c r="Q96" s="20"/>
      <c r="R96" s="20"/>
      <c r="S96" s="21"/>
      <c r="T96" s="16"/>
      <c r="U96" s="16"/>
      <c r="V96" s="22"/>
      <c r="W96" s="23"/>
    </row>
    <row r="97" ht="22.5" hidden="1" customHeight="1" spans="2:23">
      <c r="B97" s="15"/>
      <c r="C97" s="16"/>
      <c r="D97" s="17"/>
      <c r="E97" s="18"/>
      <c r="F97" s="19"/>
      <c r="G97" s="16"/>
      <c r="H97" s="16"/>
      <c r="I97" s="20"/>
      <c r="J97" s="19"/>
      <c r="K97" s="20"/>
      <c r="L97" s="20"/>
      <c r="M97" s="20"/>
      <c r="N97" s="19"/>
      <c r="O97" s="20"/>
      <c r="P97" s="20"/>
      <c r="Q97" s="20"/>
      <c r="R97" s="20"/>
      <c r="S97" s="21"/>
      <c r="T97" s="16"/>
      <c r="U97" s="16"/>
      <c r="V97" s="22"/>
      <c r="W97" s="23"/>
    </row>
    <row r="98" ht="22.5" hidden="1" customHeight="1" spans="2:23">
      <c r="B98" s="15"/>
      <c r="C98" s="16"/>
      <c r="D98" s="17"/>
      <c r="E98" s="18"/>
      <c r="F98" s="19"/>
      <c r="G98" s="16"/>
      <c r="H98" s="16"/>
      <c r="I98" s="20"/>
      <c r="J98" s="19"/>
      <c r="K98" s="20"/>
      <c r="L98" s="20"/>
      <c r="M98" s="20"/>
      <c r="N98" s="19"/>
      <c r="O98" s="20"/>
      <c r="P98" s="20"/>
      <c r="Q98" s="20"/>
      <c r="R98" s="20"/>
      <c r="S98" s="21"/>
      <c r="T98" s="16"/>
      <c r="U98" s="16"/>
      <c r="V98" s="22"/>
      <c r="W98" s="23"/>
    </row>
    <row r="99" ht="22.5" hidden="1" customHeight="1" spans="2:23">
      <c r="B99" s="15"/>
      <c r="C99" s="16"/>
      <c r="D99" s="17"/>
      <c r="E99" s="18"/>
      <c r="F99" s="19"/>
      <c r="G99" s="16"/>
      <c r="H99" s="16"/>
      <c r="I99" s="20"/>
      <c r="J99" s="19"/>
      <c r="K99" s="20"/>
      <c r="L99" s="20"/>
      <c r="M99" s="20"/>
      <c r="N99" s="19"/>
      <c r="O99" s="20"/>
      <c r="P99" s="20"/>
      <c r="Q99" s="20"/>
      <c r="R99" s="20"/>
      <c r="S99" s="21"/>
      <c r="T99" s="16"/>
      <c r="U99" s="16"/>
      <c r="V99" s="22"/>
      <c r="W99" s="23"/>
    </row>
    <row r="100" ht="22.5" hidden="1" customHeight="1" spans="2:23">
      <c r="B100" s="15"/>
      <c r="C100" s="16"/>
      <c r="D100" s="17"/>
      <c r="E100" s="18"/>
      <c r="F100" s="19"/>
      <c r="G100" s="16"/>
      <c r="H100" s="16"/>
      <c r="I100" s="20"/>
      <c r="J100" s="19"/>
      <c r="K100" s="20"/>
      <c r="L100" s="20"/>
      <c r="M100" s="20"/>
      <c r="N100" s="19"/>
      <c r="O100" s="20"/>
      <c r="P100" s="20"/>
      <c r="Q100" s="20"/>
      <c r="R100" s="20"/>
      <c r="S100" s="21"/>
      <c r="T100" s="16"/>
      <c r="U100" s="16"/>
      <c r="V100" s="22"/>
      <c r="W100" s="23"/>
    </row>
    <row r="101" ht="22.5" hidden="1" customHeight="1" spans="2:23">
      <c r="B101" s="15"/>
      <c r="C101" s="16"/>
      <c r="D101" s="17"/>
      <c r="E101" s="18"/>
      <c r="F101" s="19"/>
      <c r="G101" s="16"/>
      <c r="H101" s="16"/>
      <c r="I101" s="20"/>
      <c r="J101" s="19"/>
      <c r="K101" s="20"/>
      <c r="L101" s="20"/>
      <c r="M101" s="20"/>
      <c r="N101" s="19"/>
      <c r="O101" s="20"/>
      <c r="P101" s="20"/>
      <c r="Q101" s="20"/>
      <c r="R101" s="20"/>
      <c r="S101" s="21"/>
      <c r="T101" s="16"/>
      <c r="U101" s="16"/>
      <c r="V101" s="22"/>
      <c r="W101" s="23"/>
    </row>
    <row r="102" ht="22.5" hidden="1" customHeight="1" spans="2:23">
      <c r="B102" s="15"/>
      <c r="C102" s="16"/>
      <c r="D102" s="17"/>
      <c r="E102" s="18"/>
      <c r="F102" s="19"/>
      <c r="G102" s="16"/>
      <c r="H102" s="16"/>
      <c r="I102" s="20"/>
      <c r="J102" s="19"/>
      <c r="K102" s="20"/>
      <c r="L102" s="20"/>
      <c r="M102" s="20"/>
      <c r="N102" s="19"/>
      <c r="O102" s="20"/>
      <c r="P102" s="20"/>
      <c r="Q102" s="20"/>
      <c r="R102" s="20"/>
      <c r="S102" s="21"/>
      <c r="T102" s="16"/>
      <c r="U102" s="16"/>
      <c r="V102" s="22"/>
      <c r="W102" s="23"/>
    </row>
    <row r="103" ht="22.5" hidden="1" customHeight="1" spans="2:23">
      <c r="B103" s="15"/>
      <c r="C103" s="16"/>
      <c r="D103" s="17"/>
      <c r="E103" s="18"/>
      <c r="F103" s="19"/>
      <c r="G103" s="16"/>
      <c r="H103" s="16"/>
      <c r="I103" s="20"/>
      <c r="J103" s="19"/>
      <c r="K103" s="20"/>
      <c r="L103" s="20"/>
      <c r="M103" s="20"/>
      <c r="N103" s="19"/>
      <c r="O103" s="20"/>
      <c r="P103" s="20"/>
      <c r="Q103" s="20"/>
      <c r="R103" s="20"/>
      <c r="S103" s="21"/>
      <c r="T103" s="16"/>
      <c r="U103" s="16"/>
      <c r="V103" s="22"/>
      <c r="W103" s="23"/>
    </row>
    <row r="104" ht="22.5" hidden="1" customHeight="1" spans="2:23">
      <c r="B104" s="15"/>
      <c r="C104" s="16"/>
      <c r="D104" s="17"/>
      <c r="E104" s="18"/>
      <c r="F104" s="19"/>
      <c r="G104" s="16"/>
      <c r="H104" s="16"/>
      <c r="I104" s="20"/>
      <c r="J104" s="19"/>
      <c r="K104" s="20"/>
      <c r="L104" s="20"/>
      <c r="M104" s="20"/>
      <c r="N104" s="19"/>
      <c r="O104" s="20"/>
      <c r="P104" s="20"/>
      <c r="Q104" s="20"/>
      <c r="R104" s="20"/>
      <c r="S104" s="21"/>
      <c r="T104" s="16"/>
      <c r="U104" s="16"/>
      <c r="V104" s="22"/>
      <c r="W104" s="23"/>
    </row>
    <row r="105" ht="22.5" hidden="1" customHeight="1" spans="2:23">
      <c r="B105" s="15"/>
      <c r="C105" s="16"/>
      <c r="D105" s="17"/>
      <c r="E105" s="18"/>
      <c r="F105" s="19"/>
      <c r="G105" s="16"/>
      <c r="H105" s="16"/>
      <c r="I105" s="20"/>
      <c r="J105" s="19"/>
      <c r="K105" s="20"/>
      <c r="L105" s="20"/>
      <c r="M105" s="20"/>
      <c r="N105" s="19"/>
      <c r="O105" s="20"/>
      <c r="P105" s="20"/>
      <c r="Q105" s="20"/>
      <c r="R105" s="20"/>
      <c r="S105" s="21"/>
      <c r="T105" s="16"/>
      <c r="U105" s="16"/>
      <c r="V105" s="22"/>
      <c r="W105" s="23"/>
    </row>
    <row r="106" ht="22.5" hidden="1" customHeight="1" spans="2:23">
      <c r="B106" s="15"/>
      <c r="C106" s="16"/>
      <c r="D106" s="17"/>
      <c r="E106" s="18"/>
      <c r="F106" s="19"/>
      <c r="G106" s="16"/>
      <c r="H106" s="16"/>
      <c r="I106" s="20"/>
      <c r="J106" s="19"/>
      <c r="K106" s="20"/>
      <c r="L106" s="20"/>
      <c r="M106" s="20"/>
      <c r="N106" s="19"/>
      <c r="O106" s="20"/>
      <c r="P106" s="20"/>
      <c r="Q106" s="20"/>
      <c r="R106" s="20"/>
      <c r="S106" s="21"/>
      <c r="T106" s="16"/>
      <c r="U106" s="16"/>
      <c r="V106" s="22"/>
      <c r="W106" s="23"/>
    </row>
    <row r="107" ht="22.5" hidden="1" customHeight="1" spans="2:23">
      <c r="B107" s="15"/>
      <c r="C107" s="16"/>
      <c r="D107" s="17"/>
      <c r="E107" s="18"/>
      <c r="F107" s="19"/>
      <c r="G107" s="16"/>
      <c r="H107" s="16"/>
      <c r="I107" s="20"/>
      <c r="J107" s="19"/>
      <c r="K107" s="20"/>
      <c r="L107" s="20"/>
      <c r="M107" s="20"/>
      <c r="N107" s="19"/>
      <c r="O107" s="20"/>
      <c r="P107" s="20"/>
      <c r="Q107" s="20"/>
      <c r="R107" s="20"/>
      <c r="S107" s="21"/>
      <c r="T107" s="16"/>
      <c r="U107" s="16"/>
      <c r="V107" s="22"/>
      <c r="W107" s="23"/>
    </row>
    <row r="108" ht="22.5" hidden="1" customHeight="1" spans="2:23">
      <c r="B108" s="15"/>
      <c r="C108" s="16"/>
      <c r="D108" s="17"/>
      <c r="E108" s="18"/>
      <c r="F108" s="19"/>
      <c r="G108" s="16"/>
      <c r="H108" s="16"/>
      <c r="I108" s="20"/>
      <c r="J108" s="19"/>
      <c r="K108" s="20"/>
      <c r="L108" s="20"/>
      <c r="M108" s="20"/>
      <c r="N108" s="19"/>
      <c r="O108" s="20"/>
      <c r="P108" s="20"/>
      <c r="Q108" s="20"/>
      <c r="R108" s="20"/>
      <c r="S108" s="21"/>
      <c r="T108" s="16"/>
      <c r="U108" s="16"/>
      <c r="V108" s="22"/>
      <c r="W108" s="23"/>
    </row>
    <row r="109" ht="22.5" hidden="1" customHeight="1" spans="2:23">
      <c r="B109" s="15"/>
      <c r="C109" s="16"/>
      <c r="D109" s="17"/>
      <c r="E109" s="18"/>
      <c r="F109" s="19"/>
      <c r="G109" s="16"/>
      <c r="H109" s="16"/>
      <c r="I109" s="20"/>
      <c r="J109" s="19"/>
      <c r="K109" s="20"/>
      <c r="L109" s="20"/>
      <c r="M109" s="20"/>
      <c r="N109" s="19"/>
      <c r="O109" s="20"/>
      <c r="P109" s="20"/>
      <c r="Q109" s="20"/>
      <c r="R109" s="20"/>
      <c r="S109" s="21"/>
      <c r="T109" s="16"/>
      <c r="U109" s="16"/>
      <c r="V109" s="22"/>
      <c r="W109" s="23"/>
    </row>
    <row r="110" ht="22.5" hidden="1" customHeight="1" spans="2:23">
      <c r="B110" s="15"/>
      <c r="C110" s="16"/>
      <c r="D110" s="17"/>
      <c r="E110" s="18"/>
      <c r="F110" s="19"/>
      <c r="G110" s="16"/>
      <c r="H110" s="16"/>
      <c r="I110" s="20"/>
      <c r="J110" s="19"/>
      <c r="K110" s="20"/>
      <c r="L110" s="20"/>
      <c r="M110" s="20"/>
      <c r="N110" s="19"/>
      <c r="O110" s="20"/>
      <c r="P110" s="20"/>
      <c r="Q110" s="20"/>
      <c r="R110" s="20"/>
      <c r="S110" s="21"/>
      <c r="T110" s="16"/>
      <c r="U110" s="16"/>
      <c r="V110" s="22"/>
      <c r="W110" s="23"/>
    </row>
    <row r="111" ht="22.5" hidden="1" customHeight="1" spans="2:23">
      <c r="B111" s="15"/>
      <c r="C111" s="16"/>
      <c r="D111" s="17"/>
      <c r="E111" s="18"/>
      <c r="F111" s="19"/>
      <c r="G111" s="16"/>
      <c r="H111" s="16"/>
      <c r="I111" s="20"/>
      <c r="J111" s="19"/>
      <c r="K111" s="20"/>
      <c r="L111" s="20"/>
      <c r="M111" s="20"/>
      <c r="N111" s="19"/>
      <c r="O111" s="20"/>
      <c r="P111" s="20"/>
      <c r="Q111" s="20"/>
      <c r="R111" s="20"/>
      <c r="S111" s="21"/>
      <c r="T111" s="16"/>
      <c r="U111" s="16"/>
      <c r="V111" s="22"/>
      <c r="W111" s="23"/>
    </row>
    <row r="112" ht="22.5" hidden="1" customHeight="1" spans="2:23">
      <c r="B112" s="15"/>
      <c r="C112" s="16"/>
      <c r="D112" s="17"/>
      <c r="E112" s="18"/>
      <c r="F112" s="19"/>
      <c r="G112" s="16"/>
      <c r="H112" s="16"/>
      <c r="I112" s="20"/>
      <c r="J112" s="19"/>
      <c r="K112" s="20"/>
      <c r="L112" s="20"/>
      <c r="M112" s="20"/>
      <c r="N112" s="19"/>
      <c r="O112" s="20"/>
      <c r="P112" s="20"/>
      <c r="Q112" s="20"/>
      <c r="R112" s="20"/>
      <c r="S112" s="21"/>
      <c r="T112" s="16"/>
      <c r="U112" s="16"/>
      <c r="V112" s="22"/>
      <c r="W112" s="23"/>
    </row>
    <row r="113" ht="22.5" hidden="1" customHeight="1" spans="2:23">
      <c r="B113" s="15"/>
      <c r="C113" s="16"/>
      <c r="D113" s="17"/>
      <c r="E113" s="18"/>
      <c r="F113" s="19"/>
      <c r="G113" s="16"/>
      <c r="H113" s="16"/>
      <c r="I113" s="20"/>
      <c r="J113" s="19"/>
      <c r="K113" s="20"/>
      <c r="L113" s="20"/>
      <c r="M113" s="20"/>
      <c r="N113" s="19"/>
      <c r="O113" s="20"/>
      <c r="P113" s="20"/>
      <c r="Q113" s="20"/>
      <c r="R113" s="20"/>
      <c r="S113" s="21"/>
      <c r="T113" s="16"/>
      <c r="U113" s="16"/>
      <c r="V113" s="22"/>
      <c r="W113" s="23"/>
    </row>
    <row r="114" ht="22.5" hidden="1" customHeight="1" spans="2:23">
      <c r="B114" s="15"/>
      <c r="C114" s="16"/>
      <c r="D114" s="17"/>
      <c r="E114" s="18"/>
      <c r="F114" s="19"/>
      <c r="G114" s="16"/>
      <c r="H114" s="16"/>
      <c r="I114" s="20"/>
      <c r="J114" s="19"/>
      <c r="K114" s="20"/>
      <c r="L114" s="20"/>
      <c r="M114" s="20"/>
      <c r="N114" s="19"/>
      <c r="O114" s="20"/>
      <c r="P114" s="20"/>
      <c r="Q114" s="20"/>
      <c r="R114" s="20"/>
      <c r="S114" s="21"/>
      <c r="T114" s="16"/>
      <c r="U114" s="16"/>
      <c r="V114" s="22"/>
      <c r="W114" s="23"/>
    </row>
    <row r="115" ht="22.5" hidden="1" customHeight="1" spans="2:23">
      <c r="B115" s="15"/>
      <c r="C115" s="16"/>
      <c r="D115" s="17"/>
      <c r="E115" s="18"/>
      <c r="F115" s="19"/>
      <c r="G115" s="16"/>
      <c r="H115" s="16"/>
      <c r="I115" s="20"/>
      <c r="J115" s="19"/>
      <c r="K115" s="20"/>
      <c r="L115" s="20"/>
      <c r="M115" s="20"/>
      <c r="N115" s="19"/>
      <c r="O115" s="20"/>
      <c r="P115" s="20"/>
      <c r="Q115" s="20"/>
      <c r="R115" s="20"/>
      <c r="S115" s="21"/>
      <c r="T115" s="16"/>
      <c r="U115" s="16"/>
      <c r="V115" s="22"/>
      <c r="W115" s="23"/>
    </row>
    <row r="116" ht="22.5" hidden="1" customHeight="1" spans="2:23">
      <c r="B116" s="15"/>
      <c r="C116" s="16"/>
      <c r="D116" s="17"/>
      <c r="E116" s="18"/>
      <c r="F116" s="19"/>
      <c r="G116" s="16"/>
      <c r="H116" s="16"/>
      <c r="I116" s="20"/>
      <c r="J116" s="19"/>
      <c r="K116" s="20"/>
      <c r="L116" s="20"/>
      <c r="M116" s="20"/>
      <c r="N116" s="19"/>
      <c r="O116" s="20"/>
      <c r="P116" s="20"/>
      <c r="Q116" s="20"/>
      <c r="R116" s="20"/>
      <c r="S116" s="21"/>
      <c r="T116" s="16"/>
      <c r="U116" s="16"/>
      <c r="V116" s="22"/>
      <c r="W116" s="23"/>
    </row>
    <row r="117" ht="22.5" hidden="1" customHeight="1" spans="2:23">
      <c r="B117" s="15"/>
      <c r="C117" s="16"/>
      <c r="D117" s="17"/>
      <c r="E117" s="18"/>
      <c r="F117" s="19"/>
      <c r="G117" s="16"/>
      <c r="H117" s="16"/>
      <c r="I117" s="20"/>
      <c r="J117" s="19"/>
      <c r="K117" s="20"/>
      <c r="L117" s="20"/>
      <c r="M117" s="20"/>
      <c r="N117" s="19"/>
      <c r="O117" s="20"/>
      <c r="P117" s="20"/>
      <c r="Q117" s="20"/>
      <c r="R117" s="20"/>
      <c r="S117" s="21"/>
      <c r="T117" s="16"/>
      <c r="U117" s="16"/>
      <c r="V117" s="22"/>
      <c r="W117" s="23"/>
    </row>
    <row r="118" ht="22.5" hidden="1" customHeight="1" spans="2:23">
      <c r="B118" s="15"/>
      <c r="C118" s="16"/>
      <c r="D118" s="17"/>
      <c r="E118" s="18"/>
      <c r="F118" s="19"/>
      <c r="G118" s="16"/>
      <c r="H118" s="16"/>
      <c r="I118" s="20"/>
      <c r="J118" s="19"/>
      <c r="K118" s="20"/>
      <c r="L118" s="20"/>
      <c r="M118" s="20"/>
      <c r="N118" s="19"/>
      <c r="O118" s="20"/>
      <c r="P118" s="20"/>
      <c r="Q118" s="20"/>
      <c r="R118" s="20"/>
      <c r="S118" s="21"/>
      <c r="T118" s="16"/>
      <c r="U118" s="16"/>
      <c r="V118" s="22"/>
      <c r="W118" s="23"/>
    </row>
    <row r="119" ht="22.5" hidden="1" customHeight="1" spans="2:23">
      <c r="B119" s="15"/>
      <c r="C119" s="16"/>
      <c r="D119" s="17"/>
      <c r="E119" s="18"/>
      <c r="F119" s="19"/>
      <c r="G119" s="16"/>
      <c r="H119" s="16"/>
      <c r="I119" s="20"/>
      <c r="J119" s="19"/>
      <c r="K119" s="20"/>
      <c r="L119" s="20"/>
      <c r="M119" s="20"/>
      <c r="N119" s="19"/>
      <c r="O119" s="20"/>
      <c r="P119" s="20"/>
      <c r="Q119" s="20"/>
      <c r="R119" s="20"/>
      <c r="S119" s="21"/>
      <c r="T119" s="16"/>
      <c r="U119" s="16"/>
      <c r="V119" s="22"/>
      <c r="W119" s="23"/>
    </row>
    <row r="120" ht="22.5" hidden="1" customHeight="1" spans="2:23">
      <c r="B120" s="15"/>
      <c r="C120" s="16"/>
      <c r="D120" s="17"/>
      <c r="E120" s="18"/>
      <c r="F120" s="19"/>
      <c r="G120" s="16"/>
      <c r="H120" s="16"/>
      <c r="I120" s="20"/>
      <c r="J120" s="19"/>
      <c r="K120" s="20"/>
      <c r="L120" s="20"/>
      <c r="M120" s="20"/>
      <c r="N120" s="19"/>
      <c r="O120" s="20"/>
      <c r="P120" s="20"/>
      <c r="Q120" s="20"/>
      <c r="R120" s="20"/>
      <c r="S120" s="21"/>
      <c r="T120" s="16"/>
      <c r="U120" s="16"/>
      <c r="V120" s="22"/>
      <c r="W120" s="23"/>
    </row>
    <row r="121" ht="22.5" hidden="1" customHeight="1" spans="2:23">
      <c r="B121" s="15"/>
      <c r="C121" s="16"/>
      <c r="D121" s="17"/>
      <c r="E121" s="18"/>
      <c r="F121" s="19"/>
      <c r="G121" s="16"/>
      <c r="H121" s="16"/>
      <c r="I121" s="20"/>
      <c r="J121" s="19"/>
      <c r="K121" s="20"/>
      <c r="L121" s="20"/>
      <c r="M121" s="20"/>
      <c r="N121" s="19"/>
      <c r="O121" s="20"/>
      <c r="P121" s="20"/>
      <c r="Q121" s="20"/>
      <c r="R121" s="20"/>
      <c r="S121" s="21"/>
      <c r="T121" s="16"/>
      <c r="U121" s="16"/>
      <c r="V121" s="22"/>
      <c r="W121" s="23"/>
    </row>
    <row r="122" ht="22.5" hidden="1" customHeight="1" spans="2:23">
      <c r="B122" s="15"/>
      <c r="C122" s="16"/>
      <c r="D122" s="17"/>
      <c r="E122" s="18"/>
      <c r="F122" s="19"/>
      <c r="G122" s="16"/>
      <c r="H122" s="16"/>
      <c r="I122" s="20"/>
      <c r="J122" s="19"/>
      <c r="K122" s="20"/>
      <c r="L122" s="20"/>
      <c r="M122" s="20"/>
      <c r="N122" s="19"/>
      <c r="O122" s="20"/>
      <c r="P122" s="20"/>
      <c r="Q122" s="20"/>
      <c r="R122" s="20"/>
      <c r="S122" s="21"/>
      <c r="T122" s="16"/>
      <c r="U122" s="16"/>
      <c r="V122" s="22"/>
      <c r="W122" s="23"/>
    </row>
    <row r="123" ht="22.5" hidden="1" customHeight="1" spans="2:23">
      <c r="B123" s="15"/>
      <c r="C123" s="16"/>
      <c r="D123" s="17"/>
      <c r="E123" s="18"/>
      <c r="F123" s="19"/>
      <c r="G123" s="16"/>
      <c r="H123" s="16"/>
      <c r="I123" s="20"/>
      <c r="J123" s="19"/>
      <c r="K123" s="20"/>
      <c r="L123" s="20"/>
      <c r="M123" s="20"/>
      <c r="N123" s="19"/>
      <c r="O123" s="20"/>
      <c r="P123" s="20"/>
      <c r="Q123" s="20"/>
      <c r="R123" s="20"/>
      <c r="S123" s="21"/>
      <c r="T123" s="16"/>
      <c r="U123" s="16"/>
      <c r="V123" s="22"/>
      <c r="W123" s="23"/>
    </row>
    <row r="124" ht="22.5" hidden="1" customHeight="1" spans="2:23">
      <c r="B124" s="15"/>
      <c r="C124" s="16"/>
      <c r="D124" s="17"/>
      <c r="E124" s="18"/>
      <c r="F124" s="19"/>
      <c r="G124" s="16"/>
      <c r="H124" s="16"/>
      <c r="I124" s="20"/>
      <c r="J124" s="19"/>
      <c r="K124" s="20"/>
      <c r="L124" s="20"/>
      <c r="M124" s="20"/>
      <c r="N124" s="19"/>
      <c r="O124" s="20"/>
      <c r="P124" s="20"/>
      <c r="Q124" s="20"/>
      <c r="R124" s="20"/>
      <c r="S124" s="21"/>
      <c r="T124" s="16"/>
      <c r="U124" s="16"/>
      <c r="V124" s="22"/>
      <c r="W124" s="23"/>
    </row>
    <row r="125" ht="22.5" hidden="1" customHeight="1" spans="2:23">
      <c r="B125" s="15"/>
      <c r="C125" s="16"/>
      <c r="D125" s="17"/>
      <c r="E125" s="18"/>
      <c r="F125" s="19"/>
      <c r="G125" s="16"/>
      <c r="H125" s="16"/>
      <c r="I125" s="20"/>
      <c r="J125" s="19"/>
      <c r="K125" s="20"/>
      <c r="L125" s="20"/>
      <c r="M125" s="20"/>
      <c r="N125" s="19"/>
      <c r="O125" s="20"/>
      <c r="P125" s="20"/>
      <c r="Q125" s="20"/>
      <c r="R125" s="20"/>
      <c r="S125" s="21"/>
      <c r="T125" s="16"/>
      <c r="U125" s="16"/>
      <c r="V125" s="22"/>
      <c r="W125" s="23"/>
    </row>
    <row r="126" ht="22.5" hidden="1" customHeight="1" spans="2:23">
      <c r="B126" s="15"/>
      <c r="C126" s="16"/>
      <c r="D126" s="17"/>
      <c r="E126" s="18"/>
      <c r="F126" s="19"/>
      <c r="G126" s="16"/>
      <c r="H126" s="16"/>
      <c r="I126" s="20"/>
      <c r="J126" s="19"/>
      <c r="K126" s="20"/>
      <c r="L126" s="20"/>
      <c r="M126" s="20"/>
      <c r="N126" s="19"/>
      <c r="O126" s="20"/>
      <c r="P126" s="20"/>
      <c r="Q126" s="20"/>
      <c r="R126" s="20"/>
      <c r="S126" s="21"/>
      <c r="T126" s="16"/>
      <c r="U126" s="16"/>
      <c r="V126" s="22"/>
      <c r="W126" s="23"/>
    </row>
    <row r="127" ht="22.5" hidden="1" customHeight="1" spans="2:23">
      <c r="B127" s="15"/>
      <c r="C127" s="16"/>
      <c r="D127" s="17"/>
      <c r="E127" s="18"/>
      <c r="F127" s="19"/>
      <c r="G127" s="16"/>
      <c r="H127" s="16"/>
      <c r="I127" s="20"/>
      <c r="J127" s="19"/>
      <c r="K127" s="20"/>
      <c r="L127" s="20"/>
      <c r="M127" s="20"/>
      <c r="N127" s="19"/>
      <c r="O127" s="20"/>
      <c r="P127" s="20"/>
      <c r="Q127" s="20"/>
      <c r="R127" s="20"/>
      <c r="S127" s="21"/>
      <c r="T127" s="16"/>
      <c r="U127" s="16"/>
      <c r="V127" s="22"/>
      <c r="W127" s="23"/>
    </row>
    <row r="128" ht="22.5" hidden="1" customHeight="1" spans="2:23">
      <c r="B128" s="15"/>
      <c r="C128" s="16"/>
      <c r="D128" s="17"/>
      <c r="E128" s="18"/>
      <c r="F128" s="19"/>
      <c r="G128" s="16"/>
      <c r="H128" s="16"/>
      <c r="I128" s="20"/>
      <c r="J128" s="19"/>
      <c r="K128" s="20"/>
      <c r="L128" s="20"/>
      <c r="M128" s="20"/>
      <c r="N128" s="19"/>
      <c r="O128" s="20"/>
      <c r="P128" s="20"/>
      <c r="Q128" s="20"/>
      <c r="R128" s="20"/>
      <c r="S128" s="21"/>
      <c r="T128" s="16"/>
      <c r="U128" s="16"/>
      <c r="V128" s="22"/>
      <c r="W128" s="23"/>
    </row>
    <row r="129" ht="22.5" hidden="1" customHeight="1" spans="2:23">
      <c r="B129" s="15"/>
      <c r="C129" s="16"/>
      <c r="D129" s="17"/>
      <c r="E129" s="18"/>
      <c r="F129" s="19"/>
      <c r="G129" s="16"/>
      <c r="H129" s="16"/>
      <c r="I129" s="20"/>
      <c r="J129" s="19"/>
      <c r="K129" s="20"/>
      <c r="L129" s="20"/>
      <c r="M129" s="20"/>
      <c r="N129" s="19"/>
      <c r="O129" s="20"/>
      <c r="P129" s="20"/>
      <c r="Q129" s="20"/>
      <c r="R129" s="20"/>
      <c r="S129" s="21"/>
      <c r="T129" s="16"/>
      <c r="U129" s="16"/>
      <c r="V129" s="22"/>
      <c r="W129" s="23"/>
    </row>
    <row r="130" ht="22.5" hidden="1" customHeight="1" spans="2:23">
      <c r="B130" s="15"/>
      <c r="C130" s="16"/>
      <c r="D130" s="17"/>
      <c r="E130" s="18"/>
      <c r="F130" s="19"/>
      <c r="G130" s="16"/>
      <c r="H130" s="16"/>
      <c r="I130" s="20"/>
      <c r="J130" s="19"/>
      <c r="K130" s="20"/>
      <c r="L130" s="20"/>
      <c r="M130" s="20"/>
      <c r="N130" s="19"/>
      <c r="O130" s="20"/>
      <c r="P130" s="20"/>
      <c r="Q130" s="20"/>
      <c r="R130" s="20"/>
      <c r="S130" s="21"/>
      <c r="T130" s="16"/>
      <c r="U130" s="16"/>
      <c r="V130" s="22"/>
      <c r="W130" s="23"/>
    </row>
    <row r="131" ht="22.5" hidden="1" customHeight="1" spans="2:23">
      <c r="B131" s="15"/>
      <c r="C131" s="16"/>
      <c r="D131" s="17"/>
      <c r="E131" s="18"/>
      <c r="F131" s="19"/>
      <c r="G131" s="16"/>
      <c r="H131" s="16"/>
      <c r="I131" s="20"/>
      <c r="J131" s="19"/>
      <c r="K131" s="20"/>
      <c r="L131" s="20"/>
      <c r="M131" s="20"/>
      <c r="N131" s="19"/>
      <c r="O131" s="20"/>
      <c r="P131" s="20"/>
      <c r="Q131" s="20"/>
      <c r="R131" s="20"/>
      <c r="S131" s="21"/>
      <c r="T131" s="16"/>
      <c r="U131" s="16"/>
      <c r="V131" s="22"/>
      <c r="W131" s="23"/>
    </row>
    <row r="132" ht="22.5" hidden="1" customHeight="1" spans="2:23">
      <c r="B132" s="15"/>
      <c r="C132" s="16"/>
      <c r="D132" s="17"/>
      <c r="E132" s="18"/>
      <c r="F132" s="19"/>
      <c r="G132" s="16"/>
      <c r="H132" s="16"/>
      <c r="I132" s="20"/>
      <c r="J132" s="19"/>
      <c r="K132" s="20"/>
      <c r="L132" s="20"/>
      <c r="M132" s="20"/>
      <c r="N132" s="19"/>
      <c r="O132" s="20"/>
      <c r="P132" s="20"/>
      <c r="Q132" s="20"/>
      <c r="R132" s="20"/>
      <c r="S132" s="21"/>
      <c r="T132" s="16"/>
      <c r="U132" s="16"/>
      <c r="V132" s="22"/>
      <c r="W132" s="23"/>
    </row>
    <row r="133" ht="22.5" hidden="1" customHeight="1" spans="2:23">
      <c r="B133" s="15"/>
      <c r="C133" s="16"/>
      <c r="D133" s="17"/>
      <c r="E133" s="18"/>
      <c r="F133" s="19"/>
      <c r="G133" s="16"/>
      <c r="H133" s="16"/>
      <c r="I133" s="20"/>
      <c r="J133" s="19"/>
      <c r="K133" s="20"/>
      <c r="L133" s="20"/>
      <c r="M133" s="20"/>
      <c r="N133" s="19"/>
      <c r="O133" s="20"/>
      <c r="P133" s="20"/>
      <c r="Q133" s="20"/>
      <c r="R133" s="20"/>
      <c r="S133" s="21"/>
      <c r="T133" s="16"/>
      <c r="U133" s="16"/>
      <c r="V133" s="22"/>
      <c r="W133" s="23"/>
    </row>
    <row r="134" ht="22.5" hidden="1" customHeight="1" spans="2:23">
      <c r="B134" s="15"/>
      <c r="C134" s="16"/>
      <c r="D134" s="17"/>
      <c r="E134" s="18"/>
      <c r="F134" s="19"/>
      <c r="G134" s="16"/>
      <c r="H134" s="16"/>
      <c r="I134" s="20"/>
      <c r="J134" s="19"/>
      <c r="K134" s="20"/>
      <c r="L134" s="20"/>
      <c r="M134" s="20"/>
      <c r="N134" s="19"/>
      <c r="O134" s="20"/>
      <c r="P134" s="20"/>
      <c r="Q134" s="20"/>
      <c r="R134" s="20"/>
      <c r="S134" s="21"/>
      <c r="T134" s="16"/>
      <c r="U134" s="16"/>
      <c r="V134" s="22"/>
      <c r="W134" s="23"/>
    </row>
    <row r="135" ht="22.5" hidden="1" customHeight="1" spans="2:23">
      <c r="B135" s="15"/>
      <c r="C135" s="16"/>
      <c r="D135" s="17"/>
      <c r="E135" s="18"/>
      <c r="F135" s="19"/>
      <c r="G135" s="16"/>
      <c r="H135" s="16"/>
      <c r="I135" s="20"/>
      <c r="J135" s="19"/>
      <c r="K135" s="20"/>
      <c r="L135" s="20"/>
      <c r="M135" s="20"/>
      <c r="N135" s="19"/>
      <c r="O135" s="20"/>
      <c r="P135" s="20"/>
      <c r="Q135" s="20"/>
      <c r="R135" s="20"/>
      <c r="S135" s="21"/>
      <c r="T135" s="16"/>
      <c r="U135" s="16"/>
      <c r="V135" s="22"/>
      <c r="W135" s="23"/>
    </row>
    <row r="136" ht="22.5" hidden="1" customHeight="1" spans="2:23">
      <c r="B136" s="15"/>
      <c r="C136" s="16"/>
      <c r="D136" s="17"/>
      <c r="E136" s="18"/>
      <c r="F136" s="19"/>
      <c r="G136" s="16"/>
      <c r="H136" s="16"/>
      <c r="I136" s="20"/>
      <c r="J136" s="19"/>
      <c r="K136" s="20"/>
      <c r="L136" s="20"/>
      <c r="M136" s="20"/>
      <c r="N136" s="19"/>
      <c r="O136" s="20"/>
      <c r="P136" s="20"/>
      <c r="Q136" s="20"/>
      <c r="R136" s="20"/>
      <c r="S136" s="21"/>
      <c r="T136" s="16"/>
      <c r="U136" s="16"/>
      <c r="V136" s="22"/>
      <c r="W136" s="23"/>
    </row>
    <row r="137" ht="22.5" hidden="1" customHeight="1" spans="2:23">
      <c r="B137" s="15"/>
      <c r="C137" s="16"/>
      <c r="D137" s="17"/>
      <c r="E137" s="18"/>
      <c r="F137" s="19"/>
      <c r="G137" s="16"/>
      <c r="H137" s="16"/>
      <c r="I137" s="20"/>
      <c r="J137" s="19"/>
      <c r="K137" s="20"/>
      <c r="L137" s="20"/>
      <c r="M137" s="20"/>
      <c r="N137" s="19"/>
      <c r="O137" s="20"/>
      <c r="P137" s="20"/>
      <c r="Q137" s="20"/>
      <c r="R137" s="20"/>
      <c r="S137" s="21"/>
      <c r="T137" s="16"/>
      <c r="U137" s="16"/>
      <c r="V137" s="22"/>
      <c r="W137" s="23"/>
    </row>
    <row r="138" ht="22.5" hidden="1" customHeight="1" spans="2:23">
      <c r="B138" s="15"/>
      <c r="C138" s="16"/>
      <c r="D138" s="17"/>
      <c r="E138" s="18"/>
      <c r="F138" s="19"/>
      <c r="G138" s="16"/>
      <c r="H138" s="16"/>
      <c r="I138" s="20"/>
      <c r="J138" s="19"/>
      <c r="K138" s="20"/>
      <c r="L138" s="20"/>
      <c r="M138" s="20"/>
      <c r="N138" s="19"/>
      <c r="O138" s="20"/>
      <c r="P138" s="20"/>
      <c r="Q138" s="20"/>
      <c r="R138" s="20"/>
      <c r="S138" s="21"/>
      <c r="T138" s="16"/>
      <c r="U138" s="16"/>
      <c r="V138" s="22"/>
      <c r="W138" s="23"/>
    </row>
    <row r="139" ht="22.5" hidden="1" customHeight="1" spans="2:23">
      <c r="B139" s="15"/>
      <c r="C139" s="16"/>
      <c r="D139" s="17"/>
      <c r="E139" s="18"/>
      <c r="F139" s="19"/>
      <c r="G139" s="16"/>
      <c r="H139" s="16"/>
      <c r="I139" s="20"/>
      <c r="J139" s="19"/>
      <c r="K139" s="20"/>
      <c r="L139" s="20"/>
      <c r="M139" s="20"/>
      <c r="N139" s="19"/>
      <c r="O139" s="20"/>
      <c r="P139" s="20"/>
      <c r="Q139" s="20"/>
      <c r="R139" s="20"/>
      <c r="S139" s="21"/>
      <c r="T139" s="16"/>
      <c r="U139" s="16"/>
      <c r="V139" s="22"/>
      <c r="W139" s="23"/>
    </row>
    <row r="140" ht="22.5" hidden="1" customHeight="1" spans="2:23">
      <c r="B140" s="15"/>
      <c r="C140" s="16"/>
      <c r="D140" s="17"/>
      <c r="E140" s="18"/>
      <c r="F140" s="19"/>
      <c r="G140" s="16"/>
      <c r="H140" s="16"/>
      <c r="I140" s="20"/>
      <c r="J140" s="19"/>
      <c r="K140" s="20"/>
      <c r="L140" s="20"/>
      <c r="M140" s="20"/>
      <c r="N140" s="19"/>
      <c r="O140" s="20"/>
      <c r="P140" s="20"/>
      <c r="Q140" s="20"/>
      <c r="R140" s="20"/>
      <c r="S140" s="21"/>
      <c r="T140" s="16"/>
      <c r="U140" s="16"/>
      <c r="V140" s="22"/>
      <c r="W140" s="23"/>
    </row>
    <row r="141" ht="22.5" hidden="1" customHeight="1" spans="2:23">
      <c r="B141" s="15"/>
      <c r="C141" s="16"/>
      <c r="D141" s="17"/>
      <c r="E141" s="18"/>
      <c r="F141" s="19"/>
      <c r="G141" s="16"/>
      <c r="H141" s="16"/>
      <c r="I141" s="20"/>
      <c r="J141" s="19"/>
      <c r="K141" s="20"/>
      <c r="L141" s="20"/>
      <c r="M141" s="20"/>
      <c r="N141" s="19"/>
      <c r="O141" s="20"/>
      <c r="P141" s="20"/>
      <c r="Q141" s="20"/>
      <c r="R141" s="20"/>
      <c r="S141" s="21"/>
      <c r="T141" s="16"/>
      <c r="U141" s="16"/>
      <c r="V141" s="22"/>
      <c r="W141" s="23"/>
    </row>
    <row r="142" ht="22.5" hidden="1" customHeight="1" spans="2:23">
      <c r="B142" s="15"/>
      <c r="C142" s="16"/>
      <c r="D142" s="17"/>
      <c r="E142" s="18"/>
      <c r="F142" s="19"/>
      <c r="G142" s="16"/>
      <c r="H142" s="16"/>
      <c r="I142" s="20"/>
      <c r="J142" s="19"/>
      <c r="K142" s="20"/>
      <c r="L142" s="20"/>
      <c r="M142" s="20"/>
      <c r="N142" s="19"/>
      <c r="O142" s="20"/>
      <c r="P142" s="20"/>
      <c r="Q142" s="20"/>
      <c r="R142" s="20"/>
      <c r="S142" s="21"/>
      <c r="T142" s="16"/>
      <c r="U142" s="16"/>
      <c r="V142" s="22"/>
      <c r="W142" s="23"/>
    </row>
    <row r="143" ht="22.5" hidden="1" customHeight="1" spans="2:23">
      <c r="B143" s="15"/>
      <c r="C143" s="16"/>
      <c r="D143" s="17"/>
      <c r="E143" s="18"/>
      <c r="F143" s="19"/>
      <c r="G143" s="16"/>
      <c r="H143" s="16"/>
      <c r="I143" s="20"/>
      <c r="J143" s="19"/>
      <c r="K143" s="20"/>
      <c r="L143" s="20"/>
      <c r="M143" s="20"/>
      <c r="N143" s="19"/>
      <c r="O143" s="20"/>
      <c r="P143" s="20"/>
      <c r="Q143" s="20"/>
      <c r="R143" s="20"/>
      <c r="S143" s="21"/>
      <c r="T143" s="16"/>
      <c r="U143" s="16"/>
      <c r="V143" s="22"/>
      <c r="W143" s="23"/>
    </row>
    <row r="144" ht="22.5" hidden="1" customHeight="1" spans="2:23">
      <c r="B144" s="15"/>
      <c r="C144" s="16"/>
      <c r="D144" s="17"/>
      <c r="E144" s="18"/>
      <c r="F144" s="19"/>
      <c r="G144" s="16"/>
      <c r="H144" s="16"/>
      <c r="I144" s="20"/>
      <c r="J144" s="19"/>
      <c r="K144" s="20"/>
      <c r="L144" s="20"/>
      <c r="M144" s="20"/>
      <c r="N144" s="19"/>
      <c r="O144" s="20"/>
      <c r="P144" s="20"/>
      <c r="Q144" s="20"/>
      <c r="R144" s="20"/>
      <c r="S144" s="21"/>
      <c r="T144" s="16"/>
      <c r="U144" s="16"/>
      <c r="V144" s="22"/>
      <c r="W144" s="23"/>
    </row>
    <row r="145" ht="22.5" hidden="1" customHeight="1" spans="2:23">
      <c r="B145" s="15"/>
      <c r="C145" s="16"/>
      <c r="D145" s="17"/>
      <c r="E145" s="18"/>
      <c r="F145" s="19"/>
      <c r="G145" s="16"/>
      <c r="H145" s="16"/>
      <c r="I145" s="20"/>
      <c r="J145" s="19"/>
      <c r="K145" s="20"/>
      <c r="L145" s="20"/>
      <c r="M145" s="20"/>
      <c r="N145" s="19"/>
      <c r="O145" s="20"/>
      <c r="P145" s="20"/>
      <c r="Q145" s="20"/>
      <c r="R145" s="20"/>
      <c r="S145" s="21"/>
      <c r="T145" s="16"/>
      <c r="U145" s="16"/>
      <c r="V145" s="22"/>
      <c r="W145" s="23"/>
    </row>
    <row r="146" ht="22.5" hidden="1" customHeight="1" spans="2:23">
      <c r="B146" s="15"/>
      <c r="C146" s="16"/>
      <c r="D146" s="17"/>
      <c r="E146" s="18"/>
      <c r="F146" s="19"/>
      <c r="G146" s="16"/>
      <c r="H146" s="16"/>
      <c r="I146" s="20"/>
      <c r="J146" s="19"/>
      <c r="K146" s="20"/>
      <c r="L146" s="20"/>
      <c r="M146" s="20"/>
      <c r="N146" s="19"/>
      <c r="O146" s="20"/>
      <c r="P146" s="20"/>
      <c r="Q146" s="20"/>
      <c r="R146" s="20"/>
      <c r="S146" s="21"/>
      <c r="T146" s="16"/>
      <c r="U146" s="16"/>
      <c r="V146" s="22"/>
      <c r="W146" s="23"/>
    </row>
    <row r="147" ht="22.5" hidden="1" customHeight="1" spans="2:23">
      <c r="B147" s="15"/>
      <c r="C147" s="16"/>
      <c r="D147" s="17"/>
      <c r="E147" s="18"/>
      <c r="F147" s="19"/>
      <c r="G147" s="16"/>
      <c r="H147" s="16"/>
      <c r="I147" s="20"/>
      <c r="J147" s="19"/>
      <c r="K147" s="20"/>
      <c r="L147" s="20"/>
      <c r="M147" s="20"/>
      <c r="N147" s="19"/>
      <c r="O147" s="20"/>
      <c r="P147" s="20"/>
      <c r="Q147" s="20"/>
      <c r="R147" s="20"/>
      <c r="S147" s="21"/>
      <c r="T147" s="16"/>
      <c r="U147" s="16"/>
      <c r="V147" s="22"/>
      <c r="W147" s="23"/>
    </row>
    <row r="148" ht="22.5" hidden="1" customHeight="1" spans="2:23">
      <c r="B148" s="15"/>
      <c r="C148" s="16"/>
      <c r="D148" s="17"/>
      <c r="E148" s="18"/>
      <c r="F148" s="19"/>
      <c r="G148" s="16"/>
      <c r="H148" s="16"/>
      <c r="I148" s="20"/>
      <c r="J148" s="19"/>
      <c r="K148" s="20"/>
      <c r="L148" s="20"/>
      <c r="M148" s="20"/>
      <c r="N148" s="19"/>
      <c r="O148" s="20"/>
      <c r="P148" s="20"/>
      <c r="Q148" s="20"/>
      <c r="R148" s="20"/>
      <c r="S148" s="21"/>
      <c r="T148" s="16"/>
      <c r="U148" s="16"/>
      <c r="V148" s="22"/>
      <c r="W148" s="23"/>
    </row>
    <row r="149" ht="22.5" hidden="1" customHeight="1" spans="2:23">
      <c r="B149" s="15"/>
      <c r="C149" s="16"/>
      <c r="D149" s="17"/>
      <c r="E149" s="18"/>
      <c r="F149" s="19"/>
      <c r="G149" s="16"/>
      <c r="H149" s="16"/>
      <c r="I149" s="20"/>
      <c r="J149" s="19"/>
      <c r="K149" s="20"/>
      <c r="L149" s="20"/>
      <c r="M149" s="20"/>
      <c r="N149" s="19"/>
      <c r="O149" s="20"/>
      <c r="P149" s="20"/>
      <c r="Q149" s="20"/>
      <c r="R149" s="20"/>
      <c r="S149" s="21"/>
      <c r="T149" s="16"/>
      <c r="U149" s="16"/>
      <c r="V149" s="22"/>
      <c r="W149" s="23"/>
    </row>
    <row r="150" ht="22.5" hidden="1" customHeight="1" spans="2:23">
      <c r="B150" s="15"/>
      <c r="C150" s="16"/>
      <c r="D150" s="17"/>
      <c r="E150" s="18"/>
      <c r="F150" s="19"/>
      <c r="G150" s="16"/>
      <c r="H150" s="16"/>
      <c r="I150" s="20"/>
      <c r="J150" s="19"/>
      <c r="K150" s="20"/>
      <c r="L150" s="20"/>
      <c r="M150" s="20"/>
      <c r="N150" s="19"/>
      <c r="O150" s="20"/>
      <c r="P150" s="20"/>
      <c r="Q150" s="20"/>
      <c r="R150" s="20"/>
      <c r="S150" s="21"/>
      <c r="T150" s="16"/>
      <c r="U150" s="16"/>
      <c r="V150" s="22"/>
      <c r="W150" s="23"/>
    </row>
    <row r="151" ht="22.5" hidden="1" customHeight="1" spans="2:23">
      <c r="B151" s="15"/>
      <c r="C151" s="16"/>
      <c r="D151" s="17"/>
      <c r="E151" s="18"/>
      <c r="F151" s="19"/>
      <c r="G151" s="16"/>
      <c r="H151" s="16"/>
      <c r="I151" s="20"/>
      <c r="J151" s="19"/>
      <c r="K151" s="20"/>
      <c r="L151" s="20"/>
      <c r="M151" s="20"/>
      <c r="N151" s="19"/>
      <c r="O151" s="20"/>
      <c r="P151" s="20"/>
      <c r="Q151" s="20"/>
      <c r="R151" s="20"/>
      <c r="S151" s="21"/>
      <c r="T151" s="16"/>
      <c r="U151" s="16"/>
      <c r="V151" s="22"/>
      <c r="W151" s="23"/>
    </row>
    <row r="152" ht="22.5" hidden="1" customHeight="1" spans="2:23">
      <c r="B152" s="15"/>
      <c r="C152" s="16"/>
      <c r="D152" s="17"/>
      <c r="E152" s="18"/>
      <c r="F152" s="19"/>
      <c r="G152" s="16"/>
      <c r="H152" s="16"/>
      <c r="I152" s="20"/>
      <c r="J152" s="19"/>
      <c r="K152" s="20"/>
      <c r="L152" s="20"/>
      <c r="M152" s="20"/>
      <c r="N152" s="19"/>
      <c r="O152" s="20"/>
      <c r="P152" s="20"/>
      <c r="Q152" s="20"/>
      <c r="R152" s="20"/>
      <c r="S152" s="21"/>
      <c r="T152" s="16"/>
      <c r="U152" s="16"/>
      <c r="V152" s="22"/>
      <c r="W152" s="23"/>
    </row>
    <row r="153" ht="22.5" hidden="1" customHeight="1" spans="2:23">
      <c r="B153" s="15"/>
      <c r="C153" s="16"/>
      <c r="D153" s="17"/>
      <c r="E153" s="18"/>
      <c r="F153" s="19"/>
      <c r="G153" s="16"/>
      <c r="H153" s="16"/>
      <c r="I153" s="20"/>
      <c r="J153" s="19"/>
      <c r="K153" s="20"/>
      <c r="L153" s="20"/>
      <c r="M153" s="20"/>
      <c r="N153" s="19"/>
      <c r="O153" s="20"/>
      <c r="P153" s="20"/>
      <c r="Q153" s="20"/>
      <c r="R153" s="20"/>
      <c r="S153" s="21"/>
      <c r="T153" s="16"/>
      <c r="U153" s="16"/>
      <c r="V153" s="22"/>
      <c r="W153" s="23"/>
    </row>
    <row r="154" ht="22.5" hidden="1" customHeight="1" spans="2:23">
      <c r="B154" s="15"/>
      <c r="C154" s="16"/>
      <c r="D154" s="17"/>
      <c r="E154" s="18"/>
      <c r="F154" s="19"/>
      <c r="G154" s="16"/>
      <c r="H154" s="16"/>
      <c r="I154" s="20"/>
      <c r="J154" s="19"/>
      <c r="K154" s="20"/>
      <c r="L154" s="20"/>
      <c r="M154" s="20"/>
      <c r="N154" s="19"/>
      <c r="O154" s="20"/>
      <c r="P154" s="20"/>
      <c r="Q154" s="20"/>
      <c r="R154" s="20"/>
      <c r="S154" s="21"/>
      <c r="T154" s="16"/>
      <c r="U154" s="16"/>
      <c r="V154" s="22"/>
      <c r="W154" s="23"/>
    </row>
    <row r="155" ht="22.5" hidden="1" customHeight="1" spans="2:23">
      <c r="B155" s="15"/>
      <c r="C155" s="16"/>
      <c r="D155" s="17"/>
      <c r="E155" s="18"/>
      <c r="F155" s="19"/>
      <c r="G155" s="16"/>
      <c r="H155" s="16"/>
      <c r="I155" s="20"/>
      <c r="J155" s="19"/>
      <c r="K155" s="20"/>
      <c r="L155" s="20"/>
      <c r="M155" s="20"/>
      <c r="N155" s="19"/>
      <c r="O155" s="20"/>
      <c r="P155" s="20"/>
      <c r="Q155" s="20"/>
      <c r="R155" s="20"/>
      <c r="S155" s="21"/>
      <c r="T155" s="16"/>
      <c r="U155" s="16"/>
      <c r="V155" s="22"/>
      <c r="W155" s="23"/>
    </row>
    <row r="156" ht="22.5" hidden="1" customHeight="1" spans="2:23">
      <c r="B156" s="15"/>
      <c r="C156" s="16"/>
      <c r="D156" s="17"/>
      <c r="E156" s="18"/>
      <c r="F156" s="19"/>
      <c r="G156" s="16"/>
      <c r="H156" s="16"/>
      <c r="I156" s="20"/>
      <c r="J156" s="19"/>
      <c r="K156" s="20"/>
      <c r="L156" s="20"/>
      <c r="M156" s="20"/>
      <c r="N156" s="19"/>
      <c r="O156" s="20"/>
      <c r="P156" s="20"/>
      <c r="Q156" s="20"/>
      <c r="R156" s="20"/>
      <c r="S156" s="21"/>
      <c r="T156" s="16"/>
      <c r="U156" s="16"/>
      <c r="V156" s="22"/>
      <c r="W156" s="23"/>
    </row>
    <row r="157" ht="22.5" hidden="1" customHeight="1" spans="2:23">
      <c r="B157" s="15"/>
      <c r="C157" s="16"/>
      <c r="D157" s="17"/>
      <c r="E157" s="18"/>
      <c r="F157" s="19"/>
      <c r="G157" s="16"/>
      <c r="H157" s="16"/>
      <c r="I157" s="20"/>
      <c r="J157" s="19"/>
      <c r="K157" s="20"/>
      <c r="L157" s="20"/>
      <c r="M157" s="20"/>
      <c r="N157" s="19"/>
      <c r="O157" s="20"/>
      <c r="P157" s="20"/>
      <c r="Q157" s="20"/>
      <c r="R157" s="20"/>
      <c r="S157" s="21"/>
      <c r="T157" s="16"/>
      <c r="U157" s="16"/>
      <c r="V157" s="22"/>
      <c r="W157" s="23"/>
    </row>
    <row r="158" ht="22.5" hidden="1" customHeight="1" spans="2:23">
      <c r="B158" s="15"/>
      <c r="C158" s="16"/>
      <c r="D158" s="17"/>
      <c r="E158" s="18"/>
      <c r="F158" s="19"/>
      <c r="G158" s="16"/>
      <c r="H158" s="16"/>
      <c r="I158" s="20"/>
      <c r="J158" s="19"/>
      <c r="K158" s="20"/>
      <c r="L158" s="20"/>
      <c r="M158" s="20"/>
      <c r="N158" s="19"/>
      <c r="O158" s="20"/>
      <c r="P158" s="20"/>
      <c r="Q158" s="20"/>
      <c r="R158" s="20"/>
      <c r="S158" s="21"/>
      <c r="T158" s="16"/>
      <c r="U158" s="16"/>
      <c r="V158" s="22"/>
      <c r="W158" s="23"/>
    </row>
    <row r="159" ht="22.5" hidden="1" customHeight="1" spans="2:23">
      <c r="B159" s="15"/>
      <c r="C159" s="16"/>
      <c r="D159" s="17"/>
      <c r="E159" s="18"/>
      <c r="F159" s="19"/>
      <c r="G159" s="16"/>
      <c r="H159" s="16"/>
      <c r="I159" s="20"/>
      <c r="J159" s="19"/>
      <c r="K159" s="20"/>
      <c r="L159" s="20"/>
      <c r="M159" s="20"/>
      <c r="N159" s="19"/>
      <c r="O159" s="20"/>
      <c r="P159" s="20"/>
      <c r="Q159" s="20"/>
      <c r="R159" s="20"/>
      <c r="S159" s="21"/>
      <c r="T159" s="16"/>
      <c r="U159" s="16"/>
      <c r="V159" s="22"/>
      <c r="W159" s="23"/>
    </row>
    <row r="160" ht="22.5" hidden="1" customHeight="1" spans="2:23">
      <c r="B160" s="15"/>
      <c r="C160" s="16"/>
      <c r="D160" s="17"/>
      <c r="E160" s="18"/>
      <c r="F160" s="19"/>
      <c r="G160" s="16"/>
      <c r="H160" s="16"/>
      <c r="I160" s="20"/>
      <c r="J160" s="19"/>
      <c r="K160" s="20"/>
      <c r="L160" s="20"/>
      <c r="M160" s="20"/>
      <c r="N160" s="19"/>
      <c r="O160" s="20"/>
      <c r="P160" s="20"/>
      <c r="Q160" s="20"/>
      <c r="R160" s="20"/>
      <c r="S160" s="21"/>
      <c r="T160" s="16"/>
      <c r="U160" s="16"/>
      <c r="V160" s="22"/>
      <c r="W160" s="23"/>
    </row>
    <row r="161" ht="22.5" hidden="1" customHeight="1" spans="2:23">
      <c r="B161" s="15"/>
      <c r="C161" s="16"/>
      <c r="D161" s="17"/>
      <c r="E161" s="18"/>
      <c r="F161" s="19"/>
      <c r="G161" s="16"/>
      <c r="H161" s="16"/>
      <c r="I161" s="20"/>
      <c r="J161" s="19"/>
      <c r="K161" s="20"/>
      <c r="L161" s="20"/>
      <c r="M161" s="20"/>
      <c r="N161" s="19"/>
      <c r="O161" s="20"/>
      <c r="P161" s="20"/>
      <c r="Q161" s="20"/>
      <c r="R161" s="20"/>
      <c r="S161" s="21"/>
      <c r="T161" s="16"/>
      <c r="U161" s="16"/>
      <c r="V161" s="22"/>
      <c r="W161" s="23"/>
    </row>
    <row r="162" ht="22.5" hidden="1" customHeight="1" spans="2:23">
      <c r="B162" s="15"/>
      <c r="C162" s="16"/>
      <c r="D162" s="17"/>
      <c r="E162" s="18"/>
      <c r="F162" s="19"/>
      <c r="G162" s="16"/>
      <c r="H162" s="16"/>
      <c r="I162" s="20"/>
      <c r="J162" s="19"/>
      <c r="K162" s="20"/>
      <c r="L162" s="20"/>
      <c r="M162" s="20"/>
      <c r="N162" s="19"/>
      <c r="O162" s="20"/>
      <c r="P162" s="20"/>
      <c r="Q162" s="20"/>
      <c r="R162" s="20"/>
      <c r="S162" s="21"/>
      <c r="T162" s="16"/>
      <c r="U162" s="16"/>
      <c r="V162" s="22"/>
      <c r="W162" s="23"/>
    </row>
    <row r="163" ht="22.5" hidden="1" customHeight="1" spans="2:23">
      <c r="B163" s="15"/>
      <c r="C163" s="16"/>
      <c r="D163" s="17"/>
      <c r="E163" s="18"/>
      <c r="F163" s="19"/>
      <c r="G163" s="16"/>
      <c r="H163" s="16"/>
      <c r="I163" s="20"/>
      <c r="J163" s="19"/>
      <c r="K163" s="20"/>
      <c r="L163" s="20"/>
      <c r="M163" s="20"/>
      <c r="N163" s="19"/>
      <c r="O163" s="20"/>
      <c r="P163" s="20"/>
      <c r="Q163" s="20"/>
      <c r="R163" s="20"/>
      <c r="S163" s="21"/>
      <c r="T163" s="16"/>
      <c r="U163" s="16"/>
      <c r="V163" s="22"/>
      <c r="W163" s="23"/>
    </row>
    <row r="164" ht="22.5" hidden="1" customHeight="1" spans="2:23">
      <c r="B164" s="15"/>
      <c r="C164" s="16"/>
      <c r="D164" s="17"/>
      <c r="E164" s="18"/>
      <c r="F164" s="19"/>
      <c r="G164" s="16"/>
      <c r="H164" s="16"/>
      <c r="I164" s="20"/>
      <c r="J164" s="19"/>
      <c r="K164" s="20"/>
      <c r="L164" s="20"/>
      <c r="M164" s="20"/>
      <c r="N164" s="19"/>
      <c r="O164" s="20"/>
      <c r="P164" s="20"/>
      <c r="Q164" s="20"/>
      <c r="R164" s="20"/>
      <c r="S164" s="21"/>
      <c r="T164" s="16"/>
      <c r="U164" s="16"/>
      <c r="V164" s="22"/>
      <c r="W164" s="23"/>
    </row>
    <row r="165" ht="22.5" hidden="1" customHeight="1" spans="2:23">
      <c r="B165" s="15"/>
      <c r="C165" s="16"/>
      <c r="D165" s="17"/>
      <c r="E165" s="18"/>
      <c r="F165" s="19"/>
      <c r="G165" s="16"/>
      <c r="H165" s="16"/>
      <c r="I165" s="20"/>
      <c r="J165" s="19"/>
      <c r="K165" s="20"/>
      <c r="L165" s="20"/>
      <c r="M165" s="20"/>
      <c r="N165" s="19"/>
      <c r="O165" s="20"/>
      <c r="P165" s="20"/>
      <c r="Q165" s="20"/>
      <c r="R165" s="20"/>
      <c r="S165" s="21"/>
      <c r="T165" s="16"/>
      <c r="U165" s="16"/>
      <c r="V165" s="22"/>
      <c r="W165" s="23"/>
    </row>
    <row r="166" ht="22.5" hidden="1" customHeight="1" spans="2:23">
      <c r="B166" s="15"/>
      <c r="C166" s="16"/>
      <c r="D166" s="17"/>
      <c r="E166" s="18"/>
      <c r="F166" s="19"/>
      <c r="G166" s="16"/>
      <c r="H166" s="16"/>
      <c r="I166" s="20"/>
      <c r="J166" s="19"/>
      <c r="K166" s="20"/>
      <c r="L166" s="20"/>
      <c r="M166" s="20"/>
      <c r="N166" s="19"/>
      <c r="O166" s="20"/>
      <c r="P166" s="20"/>
      <c r="Q166" s="20"/>
      <c r="R166" s="20"/>
      <c r="S166" s="21"/>
      <c r="T166" s="16"/>
      <c r="U166" s="16"/>
      <c r="V166" s="22"/>
      <c r="W166" s="23"/>
    </row>
    <row r="167" ht="22.5" hidden="1" customHeight="1" spans="2:23">
      <c r="B167" s="15"/>
      <c r="C167" s="16"/>
      <c r="D167" s="17"/>
      <c r="E167" s="18"/>
      <c r="F167" s="19"/>
      <c r="G167" s="16"/>
      <c r="H167" s="16"/>
      <c r="I167" s="20"/>
      <c r="J167" s="19"/>
      <c r="K167" s="20"/>
      <c r="L167" s="20"/>
      <c r="M167" s="20"/>
      <c r="N167" s="19"/>
      <c r="O167" s="20"/>
      <c r="P167" s="20"/>
      <c r="Q167" s="20"/>
      <c r="R167" s="20"/>
      <c r="S167" s="21"/>
      <c r="T167" s="16"/>
      <c r="U167" s="16"/>
      <c r="V167" s="22"/>
      <c r="W167" s="23"/>
    </row>
    <row r="168" ht="22.5" hidden="1" customHeight="1" spans="2:23">
      <c r="B168" s="15"/>
      <c r="C168" s="16"/>
      <c r="D168" s="17"/>
      <c r="E168" s="18"/>
      <c r="F168" s="19"/>
      <c r="G168" s="16"/>
      <c r="H168" s="16"/>
      <c r="I168" s="20"/>
      <c r="J168" s="19"/>
      <c r="K168" s="20"/>
      <c r="L168" s="20"/>
      <c r="M168" s="20"/>
      <c r="N168" s="19"/>
      <c r="O168" s="20"/>
      <c r="P168" s="20"/>
      <c r="Q168" s="20"/>
      <c r="R168" s="20"/>
      <c r="S168" s="21"/>
      <c r="T168" s="16"/>
      <c r="U168" s="16"/>
      <c r="V168" s="22"/>
      <c r="W168" s="23"/>
    </row>
    <row r="169" ht="22.5" hidden="1" customHeight="1" spans="2:23">
      <c r="B169" s="15"/>
      <c r="C169" s="16"/>
      <c r="D169" s="17"/>
      <c r="E169" s="18"/>
      <c r="F169" s="19"/>
      <c r="G169" s="16"/>
      <c r="H169" s="16"/>
      <c r="I169" s="20"/>
      <c r="J169" s="19"/>
      <c r="K169" s="20"/>
      <c r="L169" s="20"/>
      <c r="M169" s="20"/>
      <c r="N169" s="19"/>
      <c r="O169" s="20"/>
      <c r="P169" s="20"/>
      <c r="Q169" s="20"/>
      <c r="R169" s="20"/>
      <c r="S169" s="21"/>
      <c r="T169" s="16"/>
      <c r="U169" s="16"/>
      <c r="V169" s="22"/>
      <c r="W169" s="23"/>
    </row>
    <row r="170" ht="22.5" hidden="1" customHeight="1" spans="2:23">
      <c r="B170" s="15"/>
      <c r="C170" s="16"/>
      <c r="D170" s="17"/>
      <c r="E170" s="18"/>
      <c r="F170" s="19"/>
      <c r="G170" s="16"/>
      <c r="H170" s="16"/>
      <c r="I170" s="20"/>
      <c r="J170" s="19"/>
      <c r="K170" s="20"/>
      <c r="L170" s="20"/>
      <c r="M170" s="20"/>
      <c r="N170" s="19"/>
      <c r="O170" s="20"/>
      <c r="P170" s="20"/>
      <c r="Q170" s="20"/>
      <c r="R170" s="20"/>
      <c r="S170" s="21"/>
      <c r="T170" s="16"/>
      <c r="U170" s="16"/>
      <c r="V170" s="22"/>
      <c r="W170" s="23"/>
    </row>
    <row r="171" ht="22.5" hidden="1" customHeight="1" spans="2:23">
      <c r="B171" s="15"/>
      <c r="C171" s="16"/>
      <c r="D171" s="17"/>
      <c r="E171" s="18"/>
      <c r="F171" s="19"/>
      <c r="G171" s="16"/>
      <c r="H171" s="16"/>
      <c r="I171" s="20"/>
      <c r="J171" s="19"/>
      <c r="K171" s="20"/>
      <c r="L171" s="20"/>
      <c r="M171" s="20"/>
      <c r="N171" s="19"/>
      <c r="O171" s="20"/>
      <c r="P171" s="20"/>
      <c r="Q171" s="20"/>
      <c r="R171" s="20"/>
      <c r="S171" s="21"/>
      <c r="T171" s="16"/>
      <c r="U171" s="16"/>
      <c r="V171" s="22"/>
      <c r="W171" s="23"/>
    </row>
    <row r="172" ht="22.5" hidden="1" customHeight="1" spans="2:23">
      <c r="B172" s="15"/>
      <c r="C172" s="16"/>
      <c r="D172" s="17"/>
      <c r="E172" s="18"/>
      <c r="F172" s="19"/>
      <c r="G172" s="16"/>
      <c r="H172" s="16"/>
      <c r="I172" s="20"/>
      <c r="J172" s="19"/>
      <c r="K172" s="20"/>
      <c r="L172" s="20"/>
      <c r="M172" s="20"/>
      <c r="N172" s="19"/>
      <c r="O172" s="20"/>
      <c r="P172" s="20"/>
      <c r="Q172" s="20"/>
      <c r="R172" s="20"/>
      <c r="S172" s="21"/>
      <c r="T172" s="16"/>
      <c r="U172" s="16"/>
      <c r="V172" s="22"/>
      <c r="W172" s="23"/>
    </row>
    <row r="173" ht="22.5" hidden="1" customHeight="1" spans="2:23">
      <c r="B173" s="15"/>
      <c r="C173" s="16"/>
      <c r="D173" s="17"/>
      <c r="E173" s="18"/>
      <c r="F173" s="19"/>
      <c r="G173" s="16"/>
      <c r="H173" s="16"/>
      <c r="I173" s="20"/>
      <c r="J173" s="19"/>
      <c r="K173" s="20"/>
      <c r="L173" s="20"/>
      <c r="M173" s="20"/>
      <c r="N173" s="19"/>
      <c r="O173" s="20"/>
      <c r="P173" s="20"/>
      <c r="Q173" s="20"/>
      <c r="R173" s="20"/>
      <c r="S173" s="21"/>
      <c r="T173" s="16"/>
      <c r="U173" s="16"/>
      <c r="V173" s="22"/>
      <c r="W173" s="23"/>
    </row>
    <row r="174" ht="22.5" hidden="1" customHeight="1" spans="2:23">
      <c r="B174" s="15"/>
      <c r="C174" s="16"/>
      <c r="D174" s="17"/>
      <c r="E174" s="18"/>
      <c r="F174" s="19"/>
      <c r="G174" s="16"/>
      <c r="H174" s="16"/>
      <c r="I174" s="20"/>
      <c r="J174" s="19"/>
      <c r="K174" s="20"/>
      <c r="L174" s="20"/>
      <c r="M174" s="20"/>
      <c r="N174" s="19"/>
      <c r="O174" s="20"/>
      <c r="P174" s="20"/>
      <c r="Q174" s="20"/>
      <c r="R174" s="20"/>
      <c r="S174" s="21"/>
      <c r="T174" s="16"/>
      <c r="U174" s="16"/>
      <c r="V174" s="22"/>
      <c r="W174" s="23"/>
    </row>
    <row r="175" ht="22.5" hidden="1" customHeight="1" spans="2:23">
      <c r="B175" s="15"/>
      <c r="C175" s="16"/>
      <c r="D175" s="17"/>
      <c r="E175" s="18"/>
      <c r="F175" s="19"/>
      <c r="G175" s="16"/>
      <c r="H175" s="16"/>
      <c r="I175" s="20"/>
      <c r="J175" s="19"/>
      <c r="K175" s="20"/>
      <c r="L175" s="20"/>
      <c r="M175" s="20"/>
      <c r="N175" s="19"/>
      <c r="O175" s="20"/>
      <c r="P175" s="20"/>
      <c r="Q175" s="20"/>
      <c r="R175" s="20"/>
      <c r="S175" s="21"/>
      <c r="T175" s="16"/>
      <c r="U175" s="16"/>
      <c r="V175" s="22"/>
      <c r="W175" s="23"/>
    </row>
    <row r="176" ht="22.5" hidden="1" customHeight="1" spans="2:23">
      <c r="B176" s="15"/>
      <c r="C176" s="16"/>
      <c r="D176" s="17"/>
      <c r="E176" s="18"/>
      <c r="F176" s="19"/>
      <c r="G176" s="16"/>
      <c r="H176" s="16"/>
      <c r="I176" s="20"/>
      <c r="J176" s="19"/>
      <c r="K176" s="20"/>
      <c r="L176" s="20"/>
      <c r="M176" s="20"/>
      <c r="N176" s="19"/>
      <c r="O176" s="20"/>
      <c r="P176" s="20"/>
      <c r="Q176" s="20"/>
      <c r="R176" s="20"/>
      <c r="S176" s="21"/>
      <c r="T176" s="16"/>
      <c r="U176" s="16"/>
      <c r="V176" s="22"/>
      <c r="W176" s="23"/>
    </row>
    <row r="177" ht="22.5" hidden="1" customHeight="1" spans="2:23">
      <c r="B177" s="15"/>
      <c r="C177" s="16"/>
      <c r="D177" s="17"/>
      <c r="E177" s="18"/>
      <c r="F177" s="19"/>
      <c r="G177" s="16"/>
      <c r="H177" s="16"/>
      <c r="I177" s="20"/>
      <c r="J177" s="19"/>
      <c r="K177" s="20"/>
      <c r="L177" s="20"/>
      <c r="M177" s="20"/>
      <c r="N177" s="19"/>
      <c r="O177" s="20"/>
      <c r="P177" s="20"/>
      <c r="Q177" s="20"/>
      <c r="R177" s="20"/>
      <c r="S177" s="21"/>
      <c r="T177" s="16"/>
      <c r="U177" s="16"/>
      <c r="V177" s="22"/>
      <c r="W177" s="23"/>
    </row>
    <row r="178" ht="22.5" hidden="1" customHeight="1" spans="2:23">
      <c r="B178" s="15"/>
      <c r="C178" s="16"/>
      <c r="D178" s="17"/>
      <c r="E178" s="18"/>
      <c r="F178" s="19"/>
      <c r="G178" s="16"/>
      <c r="H178" s="16"/>
      <c r="I178" s="20"/>
      <c r="J178" s="19"/>
      <c r="K178" s="20"/>
      <c r="L178" s="20"/>
      <c r="M178" s="20"/>
      <c r="N178" s="19"/>
      <c r="O178" s="20"/>
      <c r="P178" s="20"/>
      <c r="Q178" s="20"/>
      <c r="R178" s="20"/>
      <c r="S178" s="21"/>
      <c r="T178" s="16"/>
      <c r="U178" s="16"/>
      <c r="V178" s="22"/>
      <c r="W178" s="23"/>
    </row>
    <row r="179" ht="22.5" hidden="1" customHeight="1" spans="2:23">
      <c r="B179" s="15"/>
      <c r="C179" s="16"/>
      <c r="D179" s="17"/>
      <c r="E179" s="18"/>
      <c r="F179" s="19"/>
      <c r="G179" s="16"/>
      <c r="H179" s="16"/>
      <c r="I179" s="20"/>
      <c r="J179" s="19"/>
      <c r="K179" s="20"/>
      <c r="L179" s="20"/>
      <c r="M179" s="20"/>
      <c r="N179" s="19"/>
      <c r="O179" s="20"/>
      <c r="P179" s="20"/>
      <c r="Q179" s="20"/>
      <c r="R179" s="20"/>
      <c r="S179" s="21"/>
      <c r="T179" s="16"/>
      <c r="U179" s="16"/>
      <c r="V179" s="22"/>
      <c r="W179" s="23"/>
    </row>
    <row r="180" ht="22.5" hidden="1" customHeight="1" spans="2:23">
      <c r="B180" s="15"/>
      <c r="C180" s="16"/>
      <c r="D180" s="17"/>
      <c r="E180" s="18"/>
      <c r="F180" s="19"/>
      <c r="G180" s="16"/>
      <c r="H180" s="16"/>
      <c r="I180" s="20"/>
      <c r="J180" s="19"/>
      <c r="K180" s="20"/>
      <c r="L180" s="20"/>
      <c r="M180" s="20"/>
      <c r="N180" s="19"/>
      <c r="O180" s="20"/>
      <c r="P180" s="20"/>
      <c r="Q180" s="20"/>
      <c r="R180" s="20"/>
      <c r="S180" s="21"/>
      <c r="T180" s="16"/>
      <c r="U180" s="16"/>
      <c r="V180" s="22"/>
      <c r="W180" s="23"/>
    </row>
    <row r="181" ht="22.5" hidden="1" customHeight="1" spans="2:23">
      <c r="B181" s="15"/>
      <c r="C181" s="16"/>
      <c r="D181" s="17"/>
      <c r="E181" s="18"/>
      <c r="F181" s="19"/>
      <c r="G181" s="16"/>
      <c r="H181" s="16"/>
      <c r="I181" s="20"/>
      <c r="J181" s="19"/>
      <c r="K181" s="20"/>
      <c r="L181" s="20"/>
      <c r="M181" s="20"/>
      <c r="N181" s="19"/>
      <c r="O181" s="20"/>
      <c r="P181" s="20"/>
      <c r="Q181" s="20"/>
      <c r="R181" s="20"/>
      <c r="S181" s="21"/>
      <c r="T181" s="16"/>
      <c r="U181" s="16"/>
      <c r="V181" s="22"/>
      <c r="W181" s="23"/>
    </row>
    <row r="182" ht="22.5" hidden="1" customHeight="1" spans="2:23">
      <c r="B182" s="15"/>
      <c r="C182" s="16"/>
      <c r="D182" s="17"/>
      <c r="E182" s="18"/>
      <c r="F182" s="19"/>
      <c r="G182" s="16"/>
      <c r="H182" s="16"/>
      <c r="I182" s="20"/>
      <c r="J182" s="19"/>
      <c r="K182" s="20"/>
      <c r="L182" s="20"/>
      <c r="M182" s="20"/>
      <c r="N182" s="19"/>
      <c r="O182" s="20"/>
      <c r="P182" s="20"/>
      <c r="Q182" s="20"/>
      <c r="R182" s="20"/>
      <c r="S182" s="21"/>
      <c r="T182" s="16"/>
      <c r="U182" s="16"/>
      <c r="V182" s="22"/>
      <c r="W182" s="23"/>
    </row>
    <row r="183" ht="22.5" hidden="1" customHeight="1" spans="2:23">
      <c r="B183" s="15"/>
      <c r="C183" s="16"/>
      <c r="D183" s="17"/>
      <c r="E183" s="18"/>
      <c r="F183" s="19"/>
      <c r="G183" s="16"/>
      <c r="H183" s="16"/>
      <c r="I183" s="20"/>
      <c r="J183" s="19"/>
      <c r="K183" s="20"/>
      <c r="L183" s="20"/>
      <c r="M183" s="20"/>
      <c r="N183" s="19"/>
      <c r="O183" s="20"/>
      <c r="P183" s="20"/>
      <c r="Q183" s="20"/>
      <c r="R183" s="20"/>
      <c r="S183" s="21"/>
      <c r="T183" s="16"/>
      <c r="U183" s="16"/>
      <c r="V183" s="22"/>
      <c r="W183" s="23"/>
    </row>
    <row r="184" ht="22.5" hidden="1" customHeight="1" spans="2:23">
      <c r="B184" s="15"/>
      <c r="C184" s="16"/>
      <c r="D184" s="17"/>
      <c r="E184" s="18"/>
      <c r="F184" s="19"/>
      <c r="G184" s="16"/>
      <c r="H184" s="16"/>
      <c r="I184" s="20"/>
      <c r="J184" s="19"/>
      <c r="K184" s="20"/>
      <c r="L184" s="20"/>
      <c r="M184" s="20"/>
      <c r="N184" s="19"/>
      <c r="O184" s="20"/>
      <c r="P184" s="20"/>
      <c r="Q184" s="20"/>
      <c r="R184" s="20"/>
      <c r="S184" s="21"/>
      <c r="T184" s="16"/>
      <c r="U184" s="16"/>
      <c r="V184" s="22"/>
      <c r="W184" s="23"/>
    </row>
    <row r="185" ht="22.5" hidden="1" customHeight="1" spans="2:23">
      <c r="B185" s="15"/>
      <c r="C185" s="16"/>
      <c r="D185" s="17"/>
      <c r="E185" s="18"/>
      <c r="F185" s="19"/>
      <c r="G185" s="16"/>
      <c r="H185" s="16"/>
      <c r="I185" s="20"/>
      <c r="J185" s="19"/>
      <c r="K185" s="20"/>
      <c r="L185" s="20"/>
      <c r="M185" s="20"/>
      <c r="N185" s="19"/>
      <c r="O185" s="20"/>
      <c r="P185" s="20"/>
      <c r="Q185" s="20"/>
      <c r="R185" s="20"/>
      <c r="S185" s="21"/>
      <c r="T185" s="16"/>
      <c r="U185" s="16"/>
      <c r="V185" s="22"/>
      <c r="W185" s="23"/>
    </row>
    <row r="186" ht="22.5" hidden="1" customHeight="1" spans="2:23">
      <c r="B186" s="15"/>
      <c r="C186" s="16"/>
      <c r="D186" s="17"/>
      <c r="E186" s="18"/>
      <c r="F186" s="19"/>
      <c r="G186" s="16"/>
      <c r="H186" s="16"/>
      <c r="I186" s="20"/>
      <c r="J186" s="19"/>
      <c r="K186" s="20"/>
      <c r="L186" s="20"/>
      <c r="M186" s="20"/>
      <c r="N186" s="19"/>
      <c r="O186" s="20"/>
      <c r="P186" s="20"/>
      <c r="Q186" s="20"/>
      <c r="R186" s="20"/>
      <c r="S186" s="21"/>
      <c r="T186" s="16"/>
      <c r="U186" s="16"/>
      <c r="V186" s="22"/>
      <c r="W186" s="23"/>
    </row>
    <row r="187" ht="22.5" hidden="1" customHeight="1" spans="2:23">
      <c r="B187" s="15"/>
      <c r="C187" s="16"/>
      <c r="D187" s="17"/>
      <c r="E187" s="18"/>
      <c r="F187" s="19"/>
      <c r="G187" s="16"/>
      <c r="H187" s="16"/>
      <c r="I187" s="20"/>
      <c r="J187" s="19"/>
      <c r="K187" s="20"/>
      <c r="L187" s="20"/>
      <c r="M187" s="20"/>
      <c r="N187" s="19"/>
      <c r="O187" s="20"/>
      <c r="P187" s="20"/>
      <c r="Q187" s="20"/>
      <c r="R187" s="20"/>
      <c r="S187" s="21"/>
      <c r="T187" s="16"/>
      <c r="U187" s="16"/>
      <c r="V187" s="22"/>
      <c r="W187" s="23"/>
    </row>
    <row r="188" ht="22.5" hidden="1" customHeight="1" spans="2:23">
      <c r="B188" s="15"/>
      <c r="C188" s="16"/>
      <c r="D188" s="17"/>
      <c r="E188" s="18"/>
      <c r="F188" s="19"/>
      <c r="G188" s="16"/>
      <c r="H188" s="16"/>
      <c r="I188" s="20"/>
      <c r="J188" s="19"/>
      <c r="K188" s="20"/>
      <c r="L188" s="20"/>
      <c r="M188" s="20"/>
      <c r="N188" s="19"/>
      <c r="O188" s="20"/>
      <c r="P188" s="20"/>
      <c r="Q188" s="20"/>
      <c r="R188" s="20"/>
      <c r="S188" s="21"/>
      <c r="T188" s="16"/>
      <c r="U188" s="16"/>
      <c r="V188" s="22"/>
      <c r="W188" s="23"/>
    </row>
    <row r="189" ht="22.5" hidden="1" customHeight="1" spans="2:23">
      <c r="B189" s="15"/>
      <c r="C189" s="16"/>
      <c r="D189" s="17"/>
      <c r="E189" s="18"/>
      <c r="F189" s="19"/>
      <c r="G189" s="16"/>
      <c r="H189" s="16"/>
      <c r="I189" s="20"/>
      <c r="J189" s="19"/>
      <c r="K189" s="20"/>
      <c r="L189" s="20"/>
      <c r="M189" s="20"/>
      <c r="N189" s="19"/>
      <c r="O189" s="20"/>
      <c r="P189" s="20"/>
      <c r="Q189" s="20"/>
      <c r="R189" s="20"/>
      <c r="S189" s="21"/>
      <c r="T189" s="16"/>
      <c r="U189" s="16"/>
      <c r="V189" s="22"/>
      <c r="W189" s="23"/>
    </row>
    <row r="190" ht="22.5" hidden="1" customHeight="1" spans="2:23">
      <c r="B190" s="15"/>
      <c r="C190" s="16"/>
      <c r="D190" s="17"/>
      <c r="E190" s="18"/>
      <c r="F190" s="19"/>
      <c r="G190" s="16"/>
      <c r="H190" s="16"/>
      <c r="I190" s="20"/>
      <c r="J190" s="19"/>
      <c r="K190" s="20"/>
      <c r="L190" s="20"/>
      <c r="M190" s="20"/>
      <c r="N190" s="19"/>
      <c r="O190" s="20"/>
      <c r="P190" s="20"/>
      <c r="Q190" s="20"/>
      <c r="R190" s="20"/>
      <c r="S190" s="21"/>
      <c r="T190" s="16"/>
      <c r="U190" s="16"/>
      <c r="V190" s="22"/>
      <c r="W190" s="23"/>
    </row>
    <row r="191" ht="22.5" hidden="1" customHeight="1" spans="2:23">
      <c r="B191" s="15"/>
      <c r="C191" s="16"/>
      <c r="D191" s="17"/>
      <c r="E191" s="18"/>
      <c r="F191" s="19"/>
      <c r="G191" s="16"/>
      <c r="H191" s="16"/>
      <c r="I191" s="20"/>
      <c r="J191" s="19"/>
      <c r="K191" s="20"/>
      <c r="L191" s="20"/>
      <c r="M191" s="20"/>
      <c r="N191" s="19"/>
      <c r="O191" s="20"/>
      <c r="P191" s="20"/>
      <c r="Q191" s="20"/>
      <c r="R191" s="20"/>
      <c r="S191" s="21"/>
      <c r="T191" s="16"/>
      <c r="U191" s="16"/>
      <c r="V191" s="22"/>
      <c r="W191" s="23"/>
    </row>
    <row r="192" ht="22.5" hidden="1" customHeight="1" spans="2:23">
      <c r="B192" s="15"/>
      <c r="C192" s="16"/>
      <c r="D192" s="17"/>
      <c r="E192" s="18"/>
      <c r="F192" s="19"/>
      <c r="G192" s="16"/>
      <c r="H192" s="16"/>
      <c r="I192" s="20"/>
      <c r="J192" s="19"/>
      <c r="K192" s="20"/>
      <c r="L192" s="20"/>
      <c r="M192" s="20"/>
      <c r="N192" s="19"/>
      <c r="O192" s="20"/>
      <c r="P192" s="20"/>
      <c r="Q192" s="20"/>
      <c r="R192" s="20"/>
      <c r="S192" s="21"/>
      <c r="T192" s="16"/>
      <c r="U192" s="16"/>
      <c r="V192" s="22"/>
      <c r="W192" s="23"/>
    </row>
    <row r="193" ht="22.5" hidden="1" customHeight="1" spans="2:23">
      <c r="B193" s="15"/>
      <c r="C193" s="16"/>
      <c r="D193" s="17"/>
      <c r="E193" s="18"/>
      <c r="F193" s="19"/>
      <c r="G193" s="16"/>
      <c r="H193" s="16"/>
      <c r="I193" s="20"/>
      <c r="J193" s="19"/>
      <c r="K193" s="20"/>
      <c r="L193" s="20"/>
      <c r="M193" s="20"/>
      <c r="N193" s="19"/>
      <c r="O193" s="20"/>
      <c r="P193" s="20"/>
      <c r="Q193" s="20"/>
      <c r="R193" s="20"/>
      <c r="S193" s="21"/>
      <c r="T193" s="16"/>
      <c r="U193" s="16"/>
      <c r="V193" s="22"/>
      <c r="W193" s="23"/>
    </row>
    <row r="194" ht="22.5" hidden="1" customHeight="1" spans="2:23">
      <c r="B194" s="15"/>
      <c r="C194" s="16"/>
      <c r="D194" s="17"/>
      <c r="E194" s="18"/>
      <c r="F194" s="19"/>
      <c r="G194" s="16"/>
      <c r="H194" s="16"/>
      <c r="I194" s="20"/>
      <c r="J194" s="19"/>
      <c r="K194" s="20"/>
      <c r="L194" s="20"/>
      <c r="M194" s="20"/>
      <c r="N194" s="19"/>
      <c r="O194" s="20"/>
      <c r="P194" s="20"/>
      <c r="Q194" s="20"/>
      <c r="R194" s="20"/>
      <c r="S194" s="21"/>
      <c r="T194" s="16"/>
      <c r="U194" s="16"/>
      <c r="V194" s="22"/>
      <c r="W194" s="23"/>
    </row>
    <row r="195" ht="22.5" hidden="1" customHeight="1" spans="2:23">
      <c r="B195" s="15"/>
      <c r="C195" s="16"/>
      <c r="D195" s="17"/>
      <c r="E195" s="18"/>
      <c r="F195" s="19"/>
      <c r="G195" s="16"/>
      <c r="H195" s="16"/>
      <c r="I195" s="20"/>
      <c r="J195" s="19"/>
      <c r="K195" s="20"/>
      <c r="L195" s="20"/>
      <c r="M195" s="20"/>
      <c r="N195" s="19"/>
      <c r="O195" s="20"/>
      <c r="P195" s="20"/>
      <c r="Q195" s="20"/>
      <c r="R195" s="20"/>
      <c r="S195" s="21"/>
      <c r="T195" s="16"/>
      <c r="U195" s="16"/>
      <c r="V195" s="22"/>
      <c r="W195" s="23"/>
    </row>
    <row r="196" ht="22.5" hidden="1" customHeight="1" spans="2:23">
      <c r="B196" s="15"/>
      <c r="C196" s="16"/>
      <c r="D196" s="17"/>
      <c r="E196" s="18"/>
      <c r="F196" s="19"/>
      <c r="G196" s="16"/>
      <c r="H196" s="16"/>
      <c r="I196" s="20"/>
      <c r="J196" s="19"/>
      <c r="K196" s="20"/>
      <c r="L196" s="20"/>
      <c r="M196" s="20"/>
      <c r="N196" s="19"/>
      <c r="O196" s="20"/>
      <c r="P196" s="20"/>
      <c r="Q196" s="20"/>
      <c r="R196" s="20"/>
      <c r="S196" s="21"/>
      <c r="T196" s="16"/>
      <c r="U196" s="16"/>
      <c r="V196" s="22"/>
      <c r="W196" s="23"/>
    </row>
    <row r="197" ht="22.5" hidden="1" customHeight="1" spans="2:23">
      <c r="B197" s="15"/>
      <c r="C197" s="16"/>
      <c r="D197" s="17"/>
      <c r="E197" s="18"/>
      <c r="F197" s="19"/>
      <c r="G197" s="16"/>
      <c r="H197" s="16"/>
      <c r="I197" s="20"/>
      <c r="J197" s="19"/>
      <c r="K197" s="20"/>
      <c r="L197" s="20"/>
      <c r="M197" s="20"/>
      <c r="N197" s="19"/>
      <c r="O197" s="20"/>
      <c r="P197" s="20"/>
      <c r="Q197" s="20"/>
      <c r="R197" s="20"/>
      <c r="S197" s="21"/>
      <c r="T197" s="16"/>
      <c r="U197" s="16"/>
      <c r="V197" s="22"/>
      <c r="W197" s="23"/>
    </row>
    <row r="198" ht="22.5" hidden="1" customHeight="1" spans="2:23">
      <c r="B198" s="15"/>
      <c r="C198" s="16"/>
      <c r="D198" s="17"/>
      <c r="E198" s="18"/>
      <c r="F198" s="19"/>
      <c r="G198" s="16"/>
      <c r="H198" s="16"/>
      <c r="I198" s="20"/>
      <c r="J198" s="19"/>
      <c r="K198" s="20"/>
      <c r="L198" s="20"/>
      <c r="M198" s="20"/>
      <c r="N198" s="19"/>
      <c r="O198" s="20"/>
      <c r="P198" s="20"/>
      <c r="Q198" s="20"/>
      <c r="R198" s="20"/>
      <c r="S198" s="21"/>
      <c r="T198" s="16"/>
      <c r="U198" s="16"/>
      <c r="V198" s="22"/>
      <c r="W198" s="23"/>
    </row>
    <row r="199" ht="22.5" hidden="1" customHeight="1" spans="2:23">
      <c r="B199" s="15"/>
      <c r="C199" s="16"/>
      <c r="D199" s="17"/>
      <c r="E199" s="18"/>
      <c r="F199" s="19"/>
      <c r="G199" s="16"/>
      <c r="H199" s="16"/>
      <c r="I199" s="20"/>
      <c r="J199" s="19"/>
      <c r="K199" s="20"/>
      <c r="L199" s="20"/>
      <c r="M199" s="20"/>
      <c r="N199" s="19"/>
      <c r="O199" s="20"/>
      <c r="P199" s="20"/>
      <c r="Q199" s="20"/>
      <c r="R199" s="20"/>
      <c r="S199" s="21"/>
      <c r="T199" s="16"/>
      <c r="U199" s="16"/>
      <c r="V199" s="22"/>
      <c r="W199" s="23"/>
    </row>
    <row r="200" ht="22.5" hidden="1" customHeight="1" spans="2:23">
      <c r="B200" s="15"/>
      <c r="C200" s="16"/>
      <c r="D200" s="17"/>
      <c r="E200" s="18"/>
      <c r="F200" s="19"/>
      <c r="G200" s="16"/>
      <c r="H200" s="16"/>
      <c r="I200" s="20"/>
      <c r="J200" s="19"/>
      <c r="K200" s="20"/>
      <c r="L200" s="20"/>
      <c r="M200" s="20"/>
      <c r="N200" s="19"/>
      <c r="O200" s="20"/>
      <c r="P200" s="20"/>
      <c r="Q200" s="20"/>
      <c r="R200" s="20"/>
      <c r="S200" s="21"/>
      <c r="T200" s="16"/>
      <c r="U200" s="16"/>
      <c r="V200" s="22"/>
      <c r="W200" s="23"/>
    </row>
    <row r="201" ht="22.5" hidden="1" customHeight="1" spans="2:23">
      <c r="B201" s="15"/>
      <c r="C201" s="16"/>
      <c r="D201" s="17"/>
      <c r="E201" s="18"/>
      <c r="F201" s="19"/>
      <c r="G201" s="16"/>
      <c r="H201" s="16"/>
      <c r="I201" s="20"/>
      <c r="J201" s="19"/>
      <c r="K201" s="20"/>
      <c r="L201" s="20"/>
      <c r="M201" s="20"/>
      <c r="N201" s="19"/>
      <c r="O201" s="20"/>
      <c r="P201" s="20"/>
      <c r="Q201" s="20"/>
      <c r="R201" s="20"/>
      <c r="S201" s="21"/>
      <c r="T201" s="16"/>
      <c r="U201" s="16"/>
      <c r="V201" s="22"/>
      <c r="W201" s="23"/>
    </row>
    <row r="202" ht="22.5" hidden="1" customHeight="1" spans="2:23">
      <c r="B202" s="15"/>
      <c r="C202" s="16"/>
      <c r="D202" s="17"/>
      <c r="E202" s="18"/>
      <c r="F202" s="19"/>
      <c r="G202" s="16"/>
      <c r="H202" s="16"/>
      <c r="I202" s="20"/>
      <c r="J202" s="19"/>
      <c r="K202" s="20"/>
      <c r="L202" s="20"/>
      <c r="M202" s="20"/>
      <c r="N202" s="19"/>
      <c r="O202" s="20"/>
      <c r="P202" s="20"/>
      <c r="Q202" s="20"/>
      <c r="R202" s="20"/>
      <c r="S202" s="21"/>
      <c r="T202" s="16"/>
      <c r="U202" s="16"/>
      <c r="V202" s="22"/>
      <c r="W202" s="23"/>
    </row>
    <row r="203" ht="22.5" hidden="1" customHeight="1" spans="2:23">
      <c r="B203" s="15"/>
      <c r="C203" s="16"/>
      <c r="D203" s="17"/>
      <c r="E203" s="18"/>
      <c r="F203" s="19"/>
      <c r="G203" s="16"/>
      <c r="H203" s="16"/>
      <c r="I203" s="20"/>
      <c r="J203" s="19"/>
      <c r="K203" s="20"/>
      <c r="L203" s="20"/>
      <c r="M203" s="20"/>
      <c r="N203" s="19"/>
      <c r="O203" s="20"/>
      <c r="P203" s="20"/>
      <c r="Q203" s="20"/>
      <c r="R203" s="20"/>
      <c r="S203" s="21"/>
      <c r="T203" s="16"/>
      <c r="U203" s="16"/>
      <c r="V203" s="22"/>
      <c r="W203" s="23"/>
    </row>
    <row r="204" ht="22.5" hidden="1" customHeight="1" spans="2:23">
      <c r="B204" s="15"/>
      <c r="C204" s="16"/>
      <c r="D204" s="17"/>
      <c r="E204" s="18"/>
      <c r="F204" s="19"/>
      <c r="G204" s="16"/>
      <c r="H204" s="16"/>
      <c r="I204" s="20"/>
      <c r="J204" s="19"/>
      <c r="K204" s="20"/>
      <c r="L204" s="20"/>
      <c r="M204" s="20"/>
      <c r="N204" s="19"/>
      <c r="O204" s="20"/>
      <c r="P204" s="20"/>
      <c r="Q204" s="20"/>
      <c r="R204" s="20"/>
      <c r="S204" s="21"/>
      <c r="T204" s="16"/>
      <c r="U204" s="16"/>
      <c r="V204" s="22"/>
      <c r="W204" s="23"/>
    </row>
    <row r="205" ht="22.5" hidden="1" customHeight="1" spans="2:23">
      <c r="B205" s="15"/>
      <c r="C205" s="16"/>
      <c r="D205" s="17"/>
      <c r="E205" s="18"/>
      <c r="F205" s="19"/>
      <c r="G205" s="16"/>
      <c r="H205" s="16"/>
      <c r="I205" s="20"/>
      <c r="J205" s="19"/>
      <c r="K205" s="20"/>
      <c r="L205" s="20"/>
      <c r="M205" s="20"/>
      <c r="N205" s="19"/>
      <c r="O205" s="20"/>
      <c r="P205" s="20"/>
      <c r="Q205" s="20"/>
      <c r="R205" s="20"/>
      <c r="S205" s="21"/>
      <c r="T205" s="16"/>
      <c r="U205" s="16"/>
      <c r="V205" s="22"/>
      <c r="W205" s="23"/>
    </row>
    <row r="206" ht="22.5" hidden="1" customHeight="1" spans="2:23">
      <c r="B206" s="15"/>
      <c r="C206" s="16"/>
      <c r="D206" s="17"/>
      <c r="E206" s="18"/>
      <c r="F206" s="19"/>
      <c r="G206" s="16"/>
      <c r="H206" s="16"/>
      <c r="I206" s="20"/>
      <c r="J206" s="19"/>
      <c r="K206" s="20"/>
      <c r="L206" s="20"/>
      <c r="M206" s="20"/>
      <c r="N206" s="19"/>
      <c r="O206" s="20"/>
      <c r="P206" s="20"/>
      <c r="Q206" s="20"/>
      <c r="R206" s="20"/>
      <c r="S206" s="21"/>
      <c r="T206" s="16"/>
      <c r="U206" s="16"/>
      <c r="V206" s="22"/>
      <c r="W206" s="23"/>
    </row>
    <row r="207" ht="22.5" hidden="1" customHeight="1" spans="2:23">
      <c r="B207" s="15"/>
      <c r="C207" s="16"/>
      <c r="D207" s="17"/>
      <c r="E207" s="18"/>
      <c r="F207" s="19"/>
      <c r="G207" s="16"/>
      <c r="H207" s="16"/>
      <c r="I207" s="20"/>
      <c r="J207" s="19"/>
      <c r="K207" s="20"/>
      <c r="L207" s="20"/>
      <c r="M207" s="20"/>
      <c r="N207" s="19"/>
      <c r="O207" s="20"/>
      <c r="P207" s="20"/>
      <c r="Q207" s="20"/>
      <c r="R207" s="20"/>
      <c r="S207" s="21"/>
      <c r="T207" s="16"/>
      <c r="U207" s="16"/>
      <c r="V207" s="22"/>
      <c r="W207" s="23"/>
    </row>
    <row r="208" ht="22.5" hidden="1" customHeight="1" spans="2:23">
      <c r="B208" s="15"/>
      <c r="C208" s="16"/>
      <c r="D208" s="17"/>
      <c r="E208" s="18"/>
      <c r="F208" s="19"/>
      <c r="G208" s="16"/>
      <c r="H208" s="16"/>
      <c r="I208" s="20"/>
      <c r="J208" s="19"/>
      <c r="K208" s="20"/>
      <c r="L208" s="20"/>
      <c r="M208" s="20"/>
      <c r="N208" s="19"/>
      <c r="O208" s="20"/>
      <c r="P208" s="20"/>
      <c r="Q208" s="20"/>
      <c r="R208" s="20"/>
      <c r="S208" s="21"/>
      <c r="T208" s="16"/>
      <c r="U208" s="16"/>
      <c r="V208" s="22"/>
      <c r="W208" s="23"/>
    </row>
    <row r="209" ht="22.5" hidden="1" customHeight="1" spans="2:23">
      <c r="B209" s="15"/>
      <c r="C209" s="16"/>
      <c r="D209" s="17"/>
      <c r="E209" s="18"/>
      <c r="F209" s="19"/>
      <c r="G209" s="16"/>
      <c r="H209" s="16"/>
      <c r="I209" s="20"/>
      <c r="J209" s="19"/>
      <c r="K209" s="20"/>
      <c r="L209" s="20"/>
      <c r="M209" s="20"/>
      <c r="N209" s="19"/>
      <c r="O209" s="20"/>
      <c r="P209" s="20"/>
      <c r="Q209" s="20"/>
      <c r="R209" s="20"/>
      <c r="S209" s="21"/>
      <c r="T209" s="16"/>
      <c r="U209" s="16"/>
      <c r="V209" s="22"/>
      <c r="W209" s="23"/>
    </row>
    <row r="210" ht="22.5" hidden="1" customHeight="1" spans="2:23">
      <c r="B210" s="15"/>
      <c r="C210" s="16"/>
      <c r="D210" s="17"/>
      <c r="E210" s="18"/>
      <c r="F210" s="19"/>
      <c r="G210" s="16"/>
      <c r="H210" s="16"/>
      <c r="I210" s="20"/>
      <c r="J210" s="19"/>
      <c r="K210" s="20"/>
      <c r="L210" s="20"/>
      <c r="M210" s="20"/>
      <c r="N210" s="19"/>
      <c r="O210" s="20"/>
      <c r="P210" s="20"/>
      <c r="Q210" s="20"/>
      <c r="R210" s="20"/>
      <c r="S210" s="21"/>
      <c r="T210" s="16"/>
      <c r="U210" s="16"/>
      <c r="V210" s="22"/>
      <c r="W210" s="23"/>
    </row>
    <row r="211" ht="22.5" hidden="1" customHeight="1" spans="2:23">
      <c r="B211" s="15"/>
      <c r="C211" s="16"/>
      <c r="D211" s="17"/>
      <c r="E211" s="18"/>
      <c r="F211" s="19"/>
      <c r="G211" s="16"/>
      <c r="H211" s="16"/>
      <c r="I211" s="20"/>
      <c r="J211" s="19"/>
      <c r="K211" s="20"/>
      <c r="L211" s="20"/>
      <c r="M211" s="20"/>
      <c r="N211" s="19"/>
      <c r="O211" s="20"/>
      <c r="P211" s="20"/>
      <c r="Q211" s="20"/>
      <c r="R211" s="20"/>
      <c r="S211" s="21"/>
      <c r="T211" s="16"/>
      <c r="U211" s="16"/>
      <c r="V211" s="22"/>
      <c r="W211" s="23"/>
    </row>
    <row r="212" ht="22.5" hidden="1" customHeight="1" spans="2:23">
      <c r="B212" s="15"/>
      <c r="C212" s="16"/>
      <c r="D212" s="17"/>
      <c r="E212" s="18"/>
      <c r="F212" s="19"/>
      <c r="G212" s="16"/>
      <c r="H212" s="16"/>
      <c r="I212" s="20"/>
      <c r="J212" s="19"/>
      <c r="K212" s="20"/>
      <c r="L212" s="20"/>
      <c r="M212" s="20"/>
      <c r="N212" s="19"/>
      <c r="O212" s="20"/>
      <c r="P212" s="20"/>
      <c r="Q212" s="20"/>
      <c r="R212" s="20"/>
      <c r="S212" s="21"/>
      <c r="T212" s="16"/>
      <c r="U212" s="16"/>
      <c r="V212" s="22"/>
      <c r="W212" s="23"/>
    </row>
    <row r="213" ht="22.5" hidden="1" customHeight="1" spans="2:23">
      <c r="B213" s="15"/>
      <c r="C213" s="16"/>
      <c r="D213" s="17"/>
      <c r="E213" s="18"/>
      <c r="F213" s="19"/>
      <c r="G213" s="16"/>
      <c r="H213" s="16"/>
      <c r="I213" s="20"/>
      <c r="J213" s="19"/>
      <c r="K213" s="20"/>
      <c r="L213" s="20"/>
      <c r="M213" s="20"/>
      <c r="N213" s="19"/>
      <c r="O213" s="20"/>
      <c r="P213" s="20"/>
      <c r="Q213" s="20"/>
      <c r="R213" s="20"/>
      <c r="S213" s="21"/>
      <c r="T213" s="16"/>
      <c r="U213" s="16"/>
      <c r="V213" s="22"/>
      <c r="W213" s="23"/>
    </row>
    <row r="214" ht="22.5" hidden="1" customHeight="1" spans="2:23">
      <c r="B214" s="15"/>
      <c r="C214" s="16"/>
      <c r="D214" s="17"/>
      <c r="E214" s="18"/>
      <c r="F214" s="19"/>
      <c r="G214" s="16"/>
      <c r="H214" s="16"/>
      <c r="I214" s="20"/>
      <c r="J214" s="19"/>
      <c r="K214" s="20"/>
      <c r="L214" s="20"/>
      <c r="M214" s="20"/>
      <c r="N214" s="19"/>
      <c r="O214" s="20"/>
      <c r="P214" s="20"/>
      <c r="Q214" s="20"/>
      <c r="R214" s="20"/>
      <c r="S214" s="21"/>
      <c r="T214" s="16"/>
      <c r="U214" s="16"/>
      <c r="V214" s="22"/>
      <c r="W214" s="23"/>
    </row>
    <row r="215" ht="22.5" hidden="1" customHeight="1" spans="2:23">
      <c r="B215" s="15"/>
      <c r="C215" s="16"/>
      <c r="D215" s="17"/>
      <c r="E215" s="18"/>
      <c r="F215" s="19"/>
      <c r="G215" s="16"/>
      <c r="H215" s="16"/>
      <c r="I215" s="20"/>
      <c r="J215" s="19"/>
      <c r="K215" s="20"/>
      <c r="L215" s="20"/>
      <c r="M215" s="20"/>
      <c r="N215" s="19"/>
      <c r="O215" s="20"/>
      <c r="P215" s="20"/>
      <c r="Q215" s="20"/>
      <c r="R215" s="20"/>
      <c r="S215" s="21"/>
      <c r="T215" s="16"/>
      <c r="U215" s="16"/>
      <c r="V215" s="22"/>
      <c r="W215" s="23"/>
    </row>
    <row r="216" ht="22.5" hidden="1" customHeight="1" spans="2:23">
      <c r="B216" s="15"/>
      <c r="C216" s="16"/>
      <c r="D216" s="17"/>
      <c r="E216" s="18"/>
      <c r="F216" s="19"/>
      <c r="G216" s="16"/>
      <c r="H216" s="16"/>
      <c r="I216" s="20"/>
      <c r="J216" s="19"/>
      <c r="K216" s="20"/>
      <c r="L216" s="20"/>
      <c r="M216" s="20"/>
      <c r="N216" s="19"/>
      <c r="O216" s="20"/>
      <c r="P216" s="20"/>
      <c r="Q216" s="20"/>
      <c r="R216" s="20"/>
      <c r="S216" s="21"/>
      <c r="T216" s="16"/>
      <c r="U216" s="16"/>
      <c r="V216" s="22"/>
      <c r="W216" s="23"/>
    </row>
    <row r="217" ht="22.5" hidden="1" customHeight="1" spans="2:23">
      <c r="B217" s="15"/>
      <c r="C217" s="16"/>
      <c r="D217" s="17"/>
      <c r="E217" s="18"/>
      <c r="F217" s="19"/>
      <c r="G217" s="16"/>
      <c r="H217" s="16"/>
      <c r="I217" s="20"/>
      <c r="J217" s="19"/>
      <c r="K217" s="20"/>
      <c r="L217" s="20"/>
      <c r="M217" s="20"/>
      <c r="N217" s="19"/>
      <c r="O217" s="20"/>
      <c r="P217" s="20"/>
      <c r="Q217" s="20"/>
      <c r="R217" s="20"/>
      <c r="S217" s="21"/>
      <c r="T217" s="16"/>
      <c r="U217" s="16"/>
      <c r="V217" s="22"/>
      <c r="W217" s="23"/>
    </row>
    <row r="218" ht="22.5" hidden="1" customHeight="1" spans="2:23">
      <c r="B218" s="15"/>
      <c r="C218" s="16"/>
      <c r="D218" s="17"/>
      <c r="E218" s="18"/>
      <c r="F218" s="19"/>
      <c r="G218" s="16"/>
      <c r="H218" s="16"/>
      <c r="I218" s="20"/>
      <c r="J218" s="19"/>
      <c r="K218" s="20"/>
      <c r="L218" s="20"/>
      <c r="M218" s="20"/>
      <c r="N218" s="19"/>
      <c r="O218" s="20"/>
      <c r="P218" s="20"/>
      <c r="Q218" s="20"/>
      <c r="R218" s="20"/>
      <c r="S218" s="21"/>
      <c r="T218" s="16"/>
      <c r="U218" s="16"/>
      <c r="V218" s="22"/>
      <c r="W218" s="23"/>
    </row>
    <row r="219" ht="22.5" hidden="1" customHeight="1" spans="2:23">
      <c r="B219" s="15"/>
      <c r="C219" s="16"/>
      <c r="D219" s="17"/>
      <c r="E219" s="18"/>
      <c r="F219" s="19"/>
      <c r="G219" s="16"/>
      <c r="H219" s="16"/>
      <c r="I219" s="20"/>
      <c r="J219" s="19"/>
      <c r="K219" s="20"/>
      <c r="L219" s="20"/>
      <c r="M219" s="20"/>
      <c r="N219" s="19"/>
      <c r="O219" s="20"/>
      <c r="P219" s="20"/>
      <c r="Q219" s="20"/>
      <c r="R219" s="20"/>
      <c r="S219" s="21"/>
      <c r="T219" s="16"/>
      <c r="U219" s="16"/>
      <c r="V219" s="22"/>
      <c r="W219" s="23"/>
    </row>
    <row r="220" ht="22.5" hidden="1" customHeight="1" spans="2:23">
      <c r="B220" s="15"/>
      <c r="C220" s="16"/>
      <c r="D220" s="17"/>
      <c r="E220" s="18"/>
      <c r="F220" s="19"/>
      <c r="G220" s="16"/>
      <c r="H220" s="16"/>
      <c r="I220" s="20"/>
      <c r="J220" s="19"/>
      <c r="K220" s="20"/>
      <c r="L220" s="20"/>
      <c r="M220" s="20"/>
      <c r="N220" s="19"/>
      <c r="O220" s="20"/>
      <c r="P220" s="20"/>
      <c r="Q220" s="20"/>
      <c r="R220" s="20"/>
      <c r="S220" s="21"/>
      <c r="T220" s="16"/>
      <c r="U220" s="16"/>
      <c r="V220" s="22"/>
      <c r="W220" s="23"/>
    </row>
    <row r="221" ht="22.5" hidden="1" customHeight="1" spans="2:23">
      <c r="B221" s="15"/>
      <c r="C221" s="16"/>
      <c r="D221" s="17"/>
      <c r="E221" s="18"/>
      <c r="F221" s="19"/>
      <c r="G221" s="16"/>
      <c r="H221" s="16"/>
      <c r="I221" s="20"/>
      <c r="J221" s="19"/>
      <c r="K221" s="20"/>
      <c r="L221" s="20"/>
      <c r="M221" s="20"/>
      <c r="N221" s="19"/>
      <c r="O221" s="20"/>
      <c r="P221" s="20"/>
      <c r="Q221" s="20"/>
      <c r="R221" s="20"/>
      <c r="S221" s="21"/>
      <c r="T221" s="16"/>
      <c r="U221" s="16"/>
      <c r="V221" s="22"/>
      <c r="W221" s="23"/>
    </row>
    <row r="222" ht="22.5" hidden="1" customHeight="1" spans="2:23">
      <c r="B222" s="15"/>
      <c r="C222" s="16"/>
      <c r="D222" s="17"/>
      <c r="E222" s="18"/>
      <c r="F222" s="19"/>
      <c r="G222" s="16"/>
      <c r="H222" s="16"/>
      <c r="I222" s="20"/>
      <c r="J222" s="19"/>
      <c r="K222" s="20"/>
      <c r="L222" s="20"/>
      <c r="M222" s="20"/>
      <c r="N222" s="19"/>
      <c r="O222" s="20"/>
      <c r="P222" s="20"/>
      <c r="Q222" s="20"/>
      <c r="R222" s="20"/>
      <c r="S222" s="21"/>
      <c r="T222" s="16"/>
      <c r="U222" s="16"/>
      <c r="V222" s="22"/>
      <c r="W222" s="23"/>
    </row>
    <row r="223" ht="22.5" hidden="1" customHeight="1" spans="2:23">
      <c r="B223" s="15"/>
      <c r="C223" s="16"/>
      <c r="D223" s="17"/>
      <c r="E223" s="18"/>
      <c r="F223" s="19"/>
      <c r="G223" s="16"/>
      <c r="H223" s="16"/>
      <c r="I223" s="20"/>
      <c r="J223" s="19"/>
      <c r="K223" s="20"/>
      <c r="L223" s="20"/>
      <c r="M223" s="20"/>
      <c r="N223" s="19"/>
      <c r="O223" s="20"/>
      <c r="P223" s="20"/>
      <c r="Q223" s="20"/>
      <c r="R223" s="20"/>
      <c r="S223" s="21"/>
      <c r="T223" s="16"/>
      <c r="U223" s="16"/>
      <c r="V223" s="22"/>
      <c r="W223" s="23"/>
    </row>
    <row r="224" ht="22.5" hidden="1" customHeight="1" spans="2:23">
      <c r="B224" s="15"/>
      <c r="C224" s="16"/>
      <c r="D224" s="17"/>
      <c r="E224" s="18"/>
      <c r="F224" s="19"/>
      <c r="G224" s="16"/>
      <c r="H224" s="16"/>
      <c r="I224" s="20"/>
      <c r="J224" s="19"/>
      <c r="K224" s="20"/>
      <c r="L224" s="20"/>
      <c r="M224" s="20"/>
      <c r="N224" s="19"/>
      <c r="O224" s="20"/>
      <c r="P224" s="20"/>
      <c r="Q224" s="20"/>
      <c r="R224" s="20"/>
      <c r="S224" s="21"/>
      <c r="T224" s="16"/>
      <c r="U224" s="16"/>
      <c r="V224" s="22"/>
      <c r="W224" s="23"/>
    </row>
    <row r="225" ht="22.5" hidden="1" customHeight="1" spans="2:23">
      <c r="B225" s="15"/>
      <c r="C225" s="16"/>
      <c r="D225" s="17"/>
      <c r="E225" s="18"/>
      <c r="F225" s="19"/>
      <c r="G225" s="16"/>
      <c r="H225" s="16"/>
      <c r="I225" s="20"/>
      <c r="J225" s="19"/>
      <c r="K225" s="20"/>
      <c r="L225" s="20"/>
      <c r="M225" s="20"/>
      <c r="N225" s="19"/>
      <c r="O225" s="20"/>
      <c r="P225" s="20"/>
      <c r="Q225" s="20"/>
      <c r="R225" s="20"/>
      <c r="S225" s="21"/>
      <c r="T225" s="16"/>
      <c r="U225" s="16"/>
      <c r="V225" s="22"/>
      <c r="W225" s="23"/>
    </row>
    <row r="226" ht="22.5" hidden="1" customHeight="1" spans="2:23">
      <c r="B226" s="15"/>
      <c r="C226" s="16"/>
      <c r="D226" s="17"/>
      <c r="E226" s="18"/>
      <c r="F226" s="19"/>
      <c r="G226" s="16"/>
      <c r="H226" s="16"/>
      <c r="I226" s="20"/>
      <c r="J226" s="19"/>
      <c r="K226" s="20"/>
      <c r="L226" s="20"/>
      <c r="M226" s="20"/>
      <c r="N226" s="19"/>
      <c r="O226" s="20"/>
      <c r="P226" s="20"/>
      <c r="Q226" s="20"/>
      <c r="R226" s="20"/>
      <c r="S226" s="21"/>
      <c r="T226" s="16"/>
      <c r="U226" s="16"/>
      <c r="V226" s="22"/>
      <c r="W226" s="23"/>
    </row>
    <row r="227" ht="22.5" hidden="1" customHeight="1" spans="2:23">
      <c r="B227" s="15"/>
      <c r="C227" s="16"/>
      <c r="D227" s="17"/>
      <c r="E227" s="18"/>
      <c r="F227" s="19"/>
      <c r="G227" s="16"/>
      <c r="H227" s="16"/>
      <c r="I227" s="20"/>
      <c r="J227" s="19"/>
      <c r="K227" s="20"/>
      <c r="L227" s="20"/>
      <c r="M227" s="20"/>
      <c r="N227" s="19"/>
      <c r="O227" s="20"/>
      <c r="P227" s="20"/>
      <c r="Q227" s="20"/>
      <c r="R227" s="20"/>
      <c r="S227" s="21"/>
      <c r="T227" s="16"/>
      <c r="U227" s="16"/>
      <c r="V227" s="22"/>
      <c r="W227" s="23"/>
    </row>
    <row r="228" ht="22.5" hidden="1" customHeight="1" spans="2:23">
      <c r="B228" s="15"/>
      <c r="C228" s="16"/>
      <c r="D228" s="17"/>
      <c r="E228" s="18"/>
      <c r="F228" s="19"/>
      <c r="G228" s="16"/>
      <c r="H228" s="16"/>
      <c r="I228" s="20"/>
      <c r="J228" s="19"/>
      <c r="K228" s="20"/>
      <c r="L228" s="20"/>
      <c r="M228" s="20"/>
      <c r="N228" s="19"/>
      <c r="O228" s="20"/>
      <c r="P228" s="20"/>
      <c r="Q228" s="20"/>
      <c r="R228" s="20"/>
      <c r="S228" s="21"/>
      <c r="T228" s="16"/>
      <c r="U228" s="16"/>
      <c r="V228" s="22"/>
      <c r="W228" s="23"/>
    </row>
    <row r="229" ht="22.5" hidden="1" customHeight="1" spans="2:23">
      <c r="B229" s="15"/>
      <c r="C229" s="16"/>
      <c r="D229" s="17"/>
      <c r="E229" s="18"/>
      <c r="F229" s="19"/>
      <c r="G229" s="16"/>
      <c r="H229" s="16"/>
      <c r="I229" s="20"/>
      <c r="J229" s="19"/>
      <c r="K229" s="20"/>
      <c r="L229" s="20"/>
      <c r="M229" s="20"/>
      <c r="N229" s="19"/>
      <c r="O229" s="20"/>
      <c r="P229" s="20"/>
      <c r="Q229" s="20"/>
      <c r="R229" s="20"/>
      <c r="S229" s="21"/>
      <c r="T229" s="16"/>
      <c r="U229" s="16"/>
      <c r="V229" s="22"/>
      <c r="W229" s="23"/>
    </row>
    <row r="230" ht="22.5" hidden="1" customHeight="1" spans="2:23">
      <c r="B230" s="15"/>
      <c r="C230" s="16"/>
      <c r="D230" s="17"/>
      <c r="E230" s="18"/>
      <c r="F230" s="19"/>
      <c r="G230" s="16"/>
      <c r="H230" s="16"/>
      <c r="I230" s="20"/>
      <c r="J230" s="19"/>
      <c r="K230" s="20"/>
      <c r="L230" s="20"/>
      <c r="M230" s="20"/>
      <c r="N230" s="19"/>
      <c r="O230" s="20"/>
      <c r="P230" s="20"/>
      <c r="Q230" s="20"/>
      <c r="R230" s="20"/>
      <c r="S230" s="21"/>
      <c r="T230" s="16"/>
      <c r="U230" s="16"/>
      <c r="V230" s="22"/>
      <c r="W230" s="23"/>
    </row>
    <row r="231" ht="22.5" hidden="1" customHeight="1" spans="2:23">
      <c r="B231" s="15"/>
      <c r="C231" s="16"/>
      <c r="D231" s="17"/>
      <c r="E231" s="18"/>
      <c r="F231" s="19"/>
      <c r="G231" s="16"/>
      <c r="H231" s="16"/>
      <c r="I231" s="20"/>
      <c r="J231" s="19"/>
      <c r="K231" s="20"/>
      <c r="L231" s="20"/>
      <c r="M231" s="20"/>
      <c r="N231" s="19"/>
      <c r="O231" s="20"/>
      <c r="P231" s="20"/>
      <c r="Q231" s="20"/>
      <c r="R231" s="20"/>
      <c r="S231" s="21"/>
      <c r="T231" s="16"/>
      <c r="U231" s="16"/>
      <c r="V231" s="22"/>
      <c r="W231" s="23"/>
    </row>
    <row r="232" ht="22.5" hidden="1" customHeight="1" spans="2:23">
      <c r="B232" s="15"/>
      <c r="C232" s="16"/>
      <c r="D232" s="17"/>
      <c r="E232" s="18"/>
      <c r="F232" s="19"/>
      <c r="G232" s="16"/>
      <c r="H232" s="16"/>
      <c r="I232" s="20"/>
      <c r="J232" s="19"/>
      <c r="K232" s="20"/>
      <c r="L232" s="20"/>
      <c r="M232" s="20"/>
      <c r="N232" s="19"/>
      <c r="O232" s="20"/>
      <c r="P232" s="20"/>
      <c r="Q232" s="20"/>
      <c r="R232" s="20"/>
      <c r="S232" s="21"/>
      <c r="T232" s="16"/>
      <c r="U232" s="16"/>
      <c r="V232" s="22"/>
      <c r="W232" s="23"/>
    </row>
    <row r="233" ht="22.5" hidden="1" customHeight="1" spans="2:23">
      <c r="B233" s="15"/>
      <c r="C233" s="16"/>
      <c r="D233" s="17"/>
      <c r="E233" s="18"/>
      <c r="F233" s="19"/>
      <c r="G233" s="16"/>
      <c r="H233" s="16"/>
      <c r="I233" s="20"/>
      <c r="J233" s="19"/>
      <c r="K233" s="20"/>
      <c r="L233" s="20"/>
      <c r="M233" s="20"/>
      <c r="N233" s="19"/>
      <c r="O233" s="20"/>
      <c r="P233" s="20"/>
      <c r="Q233" s="20"/>
      <c r="R233" s="20"/>
      <c r="S233" s="21"/>
      <c r="T233" s="16"/>
      <c r="U233" s="16"/>
      <c r="V233" s="22"/>
      <c r="W233" s="23"/>
    </row>
    <row r="234" ht="22.5" hidden="1" customHeight="1" spans="2:23">
      <c r="B234" s="15"/>
      <c r="C234" s="16"/>
      <c r="D234" s="17"/>
      <c r="E234" s="18"/>
      <c r="F234" s="19"/>
      <c r="G234" s="16"/>
      <c r="H234" s="16"/>
      <c r="I234" s="20"/>
      <c r="J234" s="19"/>
      <c r="K234" s="20"/>
      <c r="L234" s="20"/>
      <c r="M234" s="20"/>
      <c r="N234" s="19"/>
      <c r="O234" s="20"/>
      <c r="P234" s="20"/>
      <c r="Q234" s="20"/>
      <c r="R234" s="20"/>
      <c r="S234" s="21"/>
      <c r="T234" s="16"/>
      <c r="U234" s="16"/>
      <c r="V234" s="22"/>
      <c r="W234" s="23"/>
    </row>
    <row r="235" ht="22.5" hidden="1" customHeight="1" spans="2:23">
      <c r="B235" s="15"/>
      <c r="C235" s="16"/>
      <c r="D235" s="17"/>
      <c r="E235" s="18"/>
      <c r="F235" s="19"/>
      <c r="G235" s="16"/>
      <c r="H235" s="16"/>
      <c r="I235" s="20"/>
      <c r="J235" s="19"/>
      <c r="K235" s="20"/>
      <c r="L235" s="20"/>
      <c r="M235" s="20"/>
      <c r="N235" s="19"/>
      <c r="O235" s="20"/>
      <c r="P235" s="20"/>
      <c r="Q235" s="20"/>
      <c r="R235" s="20"/>
      <c r="S235" s="21"/>
      <c r="T235" s="16"/>
      <c r="U235" s="16"/>
      <c r="V235" s="22"/>
      <c r="W235" s="23"/>
    </row>
    <row r="236" ht="22.5" hidden="1" customHeight="1" spans="2:23">
      <c r="B236" s="15"/>
      <c r="C236" s="16"/>
      <c r="D236" s="17"/>
      <c r="E236" s="18"/>
      <c r="F236" s="19"/>
      <c r="G236" s="16"/>
      <c r="H236" s="16"/>
      <c r="I236" s="20"/>
      <c r="J236" s="19"/>
      <c r="K236" s="20"/>
      <c r="L236" s="20"/>
      <c r="M236" s="20"/>
      <c r="N236" s="19"/>
      <c r="O236" s="20"/>
      <c r="P236" s="20"/>
      <c r="Q236" s="20"/>
      <c r="R236" s="20"/>
      <c r="S236" s="21"/>
      <c r="T236" s="16"/>
      <c r="U236" s="16"/>
      <c r="V236" s="22"/>
      <c r="W236" s="23"/>
    </row>
    <row r="237" ht="22.5" hidden="1" customHeight="1" spans="2:23">
      <c r="B237" s="15"/>
      <c r="C237" s="16"/>
      <c r="D237" s="17"/>
      <c r="E237" s="18"/>
      <c r="F237" s="19"/>
      <c r="G237" s="16"/>
      <c r="H237" s="16"/>
      <c r="I237" s="20"/>
      <c r="J237" s="19"/>
      <c r="K237" s="20"/>
      <c r="L237" s="20"/>
      <c r="M237" s="20"/>
      <c r="N237" s="19"/>
      <c r="O237" s="20"/>
      <c r="P237" s="20"/>
      <c r="Q237" s="20"/>
      <c r="R237" s="20"/>
      <c r="S237" s="21"/>
      <c r="T237" s="16"/>
      <c r="U237" s="16"/>
      <c r="V237" s="22"/>
      <c r="W237" s="23"/>
    </row>
    <row r="238" ht="22.5" hidden="1" customHeight="1" spans="2:23">
      <c r="B238" s="15"/>
      <c r="C238" s="16"/>
      <c r="D238" s="17"/>
      <c r="E238" s="18"/>
      <c r="F238" s="19"/>
      <c r="G238" s="16"/>
      <c r="H238" s="16"/>
      <c r="I238" s="20"/>
      <c r="J238" s="19"/>
      <c r="K238" s="20"/>
      <c r="L238" s="20"/>
      <c r="M238" s="20"/>
      <c r="N238" s="19"/>
      <c r="O238" s="20"/>
      <c r="P238" s="20"/>
      <c r="Q238" s="20"/>
      <c r="R238" s="20"/>
      <c r="S238" s="21"/>
      <c r="T238" s="16"/>
      <c r="U238" s="16"/>
      <c r="V238" s="22"/>
      <c r="W238" s="23"/>
    </row>
    <row r="239" ht="22.5" hidden="1" customHeight="1" spans="2:23">
      <c r="B239" s="15"/>
      <c r="C239" s="16"/>
      <c r="D239" s="17"/>
      <c r="E239" s="18"/>
      <c r="F239" s="19"/>
      <c r="G239" s="16"/>
      <c r="H239" s="16"/>
      <c r="I239" s="20"/>
      <c r="J239" s="19"/>
      <c r="K239" s="20"/>
      <c r="L239" s="20"/>
      <c r="M239" s="20"/>
      <c r="N239" s="19"/>
      <c r="O239" s="20"/>
      <c r="P239" s="20"/>
      <c r="Q239" s="20"/>
      <c r="R239" s="20"/>
      <c r="S239" s="21"/>
      <c r="T239" s="16"/>
      <c r="U239" s="16"/>
      <c r="V239" s="22"/>
      <c r="W239" s="23"/>
    </row>
    <row r="240" ht="22.5" hidden="1" customHeight="1" spans="2:23">
      <c r="B240" s="15"/>
      <c r="C240" s="16"/>
      <c r="D240" s="17"/>
      <c r="E240" s="18"/>
      <c r="F240" s="19"/>
      <c r="G240" s="16"/>
      <c r="H240" s="16"/>
      <c r="I240" s="20"/>
      <c r="J240" s="19"/>
      <c r="K240" s="20"/>
      <c r="L240" s="20"/>
      <c r="M240" s="20"/>
      <c r="N240" s="19"/>
      <c r="O240" s="20"/>
      <c r="P240" s="20"/>
      <c r="Q240" s="20"/>
      <c r="R240" s="20"/>
      <c r="S240" s="21"/>
      <c r="T240" s="16"/>
      <c r="U240" s="16"/>
      <c r="V240" s="22"/>
      <c r="W240" s="23"/>
    </row>
    <row r="241" ht="22.5" hidden="1" customHeight="1" spans="2:23">
      <c r="B241" s="15"/>
      <c r="C241" s="16"/>
      <c r="D241" s="17"/>
      <c r="E241" s="18"/>
      <c r="F241" s="19"/>
      <c r="G241" s="16"/>
      <c r="H241" s="16"/>
      <c r="I241" s="20"/>
      <c r="J241" s="19"/>
      <c r="K241" s="20"/>
      <c r="L241" s="20"/>
      <c r="M241" s="20"/>
      <c r="N241" s="19"/>
      <c r="O241" s="20"/>
      <c r="P241" s="20"/>
      <c r="Q241" s="20"/>
      <c r="R241" s="20"/>
      <c r="S241" s="21"/>
      <c r="T241" s="16"/>
      <c r="U241" s="16"/>
      <c r="V241" s="22"/>
      <c r="W241" s="23"/>
    </row>
    <row r="242" ht="22.5" hidden="1" customHeight="1" spans="2:23">
      <c r="B242" s="15"/>
      <c r="C242" s="16"/>
      <c r="D242" s="17"/>
      <c r="E242" s="18"/>
      <c r="F242" s="19"/>
      <c r="G242" s="16"/>
      <c r="H242" s="16"/>
      <c r="I242" s="20"/>
      <c r="J242" s="19"/>
      <c r="K242" s="20"/>
      <c r="L242" s="20"/>
      <c r="M242" s="20"/>
      <c r="N242" s="19"/>
      <c r="O242" s="20"/>
      <c r="P242" s="20"/>
      <c r="Q242" s="20"/>
      <c r="R242" s="20"/>
      <c r="S242" s="21"/>
      <c r="T242" s="16"/>
      <c r="U242" s="16"/>
      <c r="V242" s="22"/>
      <c r="W242" s="23"/>
    </row>
    <row r="243" ht="22.5" hidden="1" customHeight="1" spans="2:23">
      <c r="B243" s="15"/>
      <c r="C243" s="16"/>
      <c r="D243" s="17"/>
      <c r="E243" s="18"/>
      <c r="F243" s="19"/>
      <c r="G243" s="16"/>
      <c r="H243" s="16"/>
      <c r="I243" s="20"/>
      <c r="J243" s="19"/>
      <c r="K243" s="20"/>
      <c r="L243" s="20"/>
      <c r="M243" s="20"/>
      <c r="N243" s="19"/>
      <c r="O243" s="20"/>
      <c r="P243" s="20"/>
      <c r="Q243" s="20"/>
      <c r="R243" s="20"/>
      <c r="S243" s="21"/>
      <c r="T243" s="16"/>
      <c r="U243" s="16"/>
      <c r="V243" s="22"/>
      <c r="W243" s="23"/>
    </row>
    <row r="244" ht="22.5" hidden="1" customHeight="1" spans="2:23">
      <c r="B244" s="15"/>
      <c r="C244" s="16"/>
      <c r="D244" s="17"/>
      <c r="E244" s="18"/>
      <c r="F244" s="19"/>
      <c r="G244" s="16"/>
      <c r="H244" s="16"/>
      <c r="I244" s="20"/>
      <c r="J244" s="19"/>
      <c r="K244" s="20"/>
      <c r="L244" s="20"/>
      <c r="M244" s="20"/>
      <c r="N244" s="19"/>
      <c r="O244" s="20"/>
      <c r="P244" s="20"/>
      <c r="Q244" s="20"/>
      <c r="R244" s="20"/>
      <c r="S244" s="21"/>
      <c r="T244" s="16"/>
      <c r="U244" s="16"/>
      <c r="V244" s="22"/>
      <c r="W244" s="23"/>
    </row>
    <row r="245" ht="22.5" hidden="1" customHeight="1" spans="2:23">
      <c r="B245" s="15"/>
      <c r="C245" s="16"/>
      <c r="D245" s="17"/>
      <c r="E245" s="18"/>
      <c r="F245" s="19"/>
      <c r="G245" s="16"/>
      <c r="H245" s="16"/>
      <c r="I245" s="20"/>
      <c r="J245" s="19"/>
      <c r="K245" s="20"/>
      <c r="L245" s="20"/>
      <c r="M245" s="20"/>
      <c r="N245" s="19"/>
      <c r="O245" s="20"/>
      <c r="P245" s="20"/>
      <c r="Q245" s="20"/>
      <c r="R245" s="20"/>
      <c r="S245" s="21"/>
      <c r="T245" s="16"/>
      <c r="U245" s="16"/>
      <c r="V245" s="22"/>
      <c r="W245" s="23"/>
    </row>
    <row r="246" ht="22.5" hidden="1" customHeight="1" spans="2:23">
      <c r="B246" s="15"/>
      <c r="C246" s="16"/>
      <c r="D246" s="17"/>
      <c r="E246" s="18"/>
      <c r="F246" s="19"/>
      <c r="G246" s="16"/>
      <c r="H246" s="16"/>
      <c r="I246" s="20"/>
      <c r="J246" s="19"/>
      <c r="K246" s="20"/>
      <c r="L246" s="20"/>
      <c r="M246" s="20"/>
      <c r="N246" s="19"/>
      <c r="O246" s="20"/>
      <c r="P246" s="20"/>
      <c r="Q246" s="20"/>
      <c r="R246" s="20"/>
      <c r="S246" s="21"/>
      <c r="T246" s="16"/>
      <c r="U246" s="16"/>
      <c r="V246" s="22"/>
      <c r="W246" s="23"/>
    </row>
    <row r="247" ht="22.5" hidden="1" customHeight="1" spans="2:23">
      <c r="B247" s="15"/>
      <c r="C247" s="16"/>
      <c r="D247" s="17"/>
      <c r="E247" s="18"/>
      <c r="F247" s="19"/>
      <c r="G247" s="16"/>
      <c r="H247" s="16"/>
      <c r="I247" s="20"/>
      <c r="J247" s="19"/>
      <c r="K247" s="20"/>
      <c r="L247" s="20"/>
      <c r="M247" s="20"/>
      <c r="N247" s="19"/>
      <c r="O247" s="20"/>
      <c r="P247" s="20"/>
      <c r="Q247" s="20"/>
      <c r="R247" s="20"/>
      <c r="S247" s="21"/>
      <c r="T247" s="16"/>
      <c r="U247" s="16"/>
      <c r="V247" s="22"/>
      <c r="W247" s="23"/>
    </row>
    <row r="248" ht="22.5" hidden="1" customHeight="1" spans="2:23">
      <c r="B248" s="15"/>
      <c r="C248" s="16"/>
      <c r="D248" s="17"/>
      <c r="E248" s="18"/>
      <c r="F248" s="19"/>
      <c r="G248" s="16"/>
      <c r="H248" s="16"/>
      <c r="I248" s="20"/>
      <c r="J248" s="19"/>
      <c r="K248" s="20"/>
      <c r="L248" s="20"/>
      <c r="M248" s="20"/>
      <c r="N248" s="19"/>
      <c r="O248" s="20"/>
      <c r="P248" s="20"/>
      <c r="Q248" s="20"/>
      <c r="R248" s="20"/>
      <c r="S248" s="21"/>
      <c r="T248" s="16"/>
      <c r="U248" s="16"/>
      <c r="V248" s="22"/>
      <c r="W248" s="23"/>
    </row>
    <row r="249" ht="22.5" hidden="1" customHeight="1" spans="2:23">
      <c r="B249" s="15"/>
      <c r="C249" s="16"/>
      <c r="D249" s="17"/>
      <c r="E249" s="18"/>
      <c r="F249" s="19"/>
      <c r="G249" s="16"/>
      <c r="H249" s="16"/>
      <c r="I249" s="20"/>
      <c r="J249" s="19"/>
      <c r="K249" s="20"/>
      <c r="L249" s="20"/>
      <c r="M249" s="20"/>
      <c r="N249" s="19"/>
      <c r="O249" s="20"/>
      <c r="P249" s="20"/>
      <c r="Q249" s="20"/>
      <c r="R249" s="20"/>
      <c r="S249" s="21"/>
      <c r="T249" s="16"/>
      <c r="U249" s="16"/>
      <c r="V249" s="22"/>
      <c r="W249" s="23"/>
    </row>
    <row r="250" ht="22.5" hidden="1" customHeight="1" spans="2:23">
      <c r="B250" s="15"/>
      <c r="C250" s="16"/>
      <c r="D250" s="17"/>
      <c r="E250" s="18"/>
      <c r="F250" s="19"/>
      <c r="G250" s="16"/>
      <c r="H250" s="16"/>
      <c r="I250" s="20"/>
      <c r="J250" s="19"/>
      <c r="K250" s="20"/>
      <c r="L250" s="20"/>
      <c r="M250" s="20"/>
      <c r="N250" s="19"/>
      <c r="O250" s="20"/>
      <c r="P250" s="20"/>
      <c r="Q250" s="20"/>
      <c r="R250" s="20"/>
      <c r="S250" s="21"/>
      <c r="T250" s="16"/>
      <c r="U250" s="16"/>
      <c r="V250" s="22"/>
      <c r="W250" s="23"/>
    </row>
    <row r="251" ht="22.5" hidden="1" customHeight="1" spans="2:23">
      <c r="B251" s="15"/>
      <c r="C251" s="16"/>
      <c r="D251" s="17"/>
      <c r="E251" s="18"/>
      <c r="F251" s="19"/>
      <c r="G251" s="16"/>
      <c r="H251" s="16"/>
      <c r="I251" s="20"/>
      <c r="J251" s="19"/>
      <c r="K251" s="20"/>
      <c r="L251" s="20"/>
      <c r="M251" s="20"/>
      <c r="N251" s="19"/>
      <c r="O251" s="20"/>
      <c r="P251" s="20"/>
      <c r="Q251" s="20"/>
      <c r="R251" s="20"/>
      <c r="S251" s="21"/>
      <c r="T251" s="16"/>
      <c r="U251" s="16"/>
      <c r="V251" s="22"/>
      <c r="W251" s="23"/>
    </row>
    <row r="252" ht="22.5" hidden="1" customHeight="1" spans="2:23">
      <c r="B252" s="15"/>
      <c r="C252" s="16"/>
      <c r="D252" s="17"/>
      <c r="E252" s="18"/>
      <c r="F252" s="19"/>
      <c r="G252" s="16"/>
      <c r="H252" s="16"/>
      <c r="I252" s="20"/>
      <c r="J252" s="19"/>
      <c r="K252" s="20"/>
      <c r="L252" s="20"/>
      <c r="M252" s="20"/>
      <c r="N252" s="19"/>
      <c r="O252" s="20"/>
      <c r="P252" s="20"/>
      <c r="Q252" s="20"/>
      <c r="R252" s="20"/>
      <c r="S252" s="21"/>
      <c r="T252" s="16"/>
      <c r="U252" s="16"/>
      <c r="V252" s="22"/>
      <c r="W252" s="23"/>
    </row>
    <row r="253" ht="22.5" hidden="1" customHeight="1" spans="2:23">
      <c r="B253" s="15"/>
      <c r="C253" s="16"/>
      <c r="D253" s="17"/>
      <c r="E253" s="18"/>
      <c r="F253" s="19"/>
      <c r="G253" s="16"/>
      <c r="H253" s="16"/>
      <c r="I253" s="20"/>
      <c r="J253" s="19"/>
      <c r="K253" s="20"/>
      <c r="L253" s="20"/>
      <c r="M253" s="20"/>
      <c r="N253" s="19"/>
      <c r="O253" s="20"/>
      <c r="P253" s="20"/>
      <c r="Q253" s="20"/>
      <c r="R253" s="20"/>
      <c r="S253" s="21"/>
      <c r="T253" s="16"/>
      <c r="U253" s="16"/>
      <c r="V253" s="22"/>
      <c r="W253" s="23"/>
    </row>
    <row r="254" ht="22.5" hidden="1" customHeight="1" spans="2:23">
      <c r="B254" s="15"/>
      <c r="C254" s="16"/>
      <c r="D254" s="17"/>
      <c r="E254" s="18"/>
      <c r="F254" s="19"/>
      <c r="G254" s="16"/>
      <c r="H254" s="16"/>
      <c r="I254" s="20"/>
      <c r="J254" s="19"/>
      <c r="K254" s="20"/>
      <c r="L254" s="20"/>
      <c r="M254" s="20"/>
      <c r="N254" s="19"/>
      <c r="O254" s="20"/>
      <c r="P254" s="20"/>
      <c r="Q254" s="20"/>
      <c r="R254" s="20"/>
      <c r="S254" s="21"/>
      <c r="T254" s="16"/>
      <c r="U254" s="16"/>
      <c r="V254" s="22"/>
      <c r="W254" s="23"/>
    </row>
    <row r="255" ht="22.5" hidden="1" customHeight="1" spans="2:23">
      <c r="B255" s="15"/>
      <c r="C255" s="16"/>
      <c r="D255" s="17"/>
      <c r="E255" s="18"/>
      <c r="F255" s="19"/>
      <c r="G255" s="16"/>
      <c r="H255" s="16"/>
      <c r="I255" s="20"/>
      <c r="J255" s="19"/>
      <c r="K255" s="20"/>
      <c r="L255" s="20"/>
      <c r="M255" s="20"/>
      <c r="N255" s="19"/>
      <c r="O255" s="20"/>
      <c r="P255" s="20"/>
      <c r="Q255" s="20"/>
      <c r="R255" s="20"/>
      <c r="S255" s="21"/>
      <c r="T255" s="16"/>
      <c r="U255" s="16"/>
      <c r="V255" s="22"/>
      <c r="W255" s="23"/>
    </row>
    <row r="256" ht="22.5" hidden="1" customHeight="1" spans="2:23">
      <c r="B256" s="15"/>
      <c r="C256" s="16"/>
      <c r="D256" s="17"/>
      <c r="E256" s="18"/>
      <c r="F256" s="19"/>
      <c r="G256" s="16"/>
      <c r="H256" s="16"/>
      <c r="I256" s="20"/>
      <c r="J256" s="19"/>
      <c r="K256" s="20"/>
      <c r="L256" s="20"/>
      <c r="M256" s="20"/>
      <c r="N256" s="19"/>
      <c r="O256" s="20"/>
      <c r="P256" s="20"/>
      <c r="Q256" s="20"/>
      <c r="R256" s="20"/>
      <c r="S256" s="21"/>
      <c r="T256" s="16"/>
      <c r="U256" s="16"/>
      <c r="V256" s="22"/>
      <c r="W256" s="23"/>
    </row>
    <row r="257" ht="22.5" hidden="1" customHeight="1" spans="2:23">
      <c r="B257" s="15"/>
      <c r="C257" s="16"/>
      <c r="D257" s="17"/>
      <c r="E257" s="18"/>
      <c r="F257" s="19"/>
      <c r="G257" s="16"/>
      <c r="H257" s="16"/>
      <c r="I257" s="20"/>
      <c r="J257" s="19"/>
      <c r="K257" s="20"/>
      <c r="L257" s="20"/>
      <c r="M257" s="20"/>
      <c r="N257" s="19"/>
      <c r="O257" s="20"/>
      <c r="P257" s="20"/>
      <c r="Q257" s="20"/>
      <c r="R257" s="20"/>
      <c r="S257" s="21"/>
      <c r="T257" s="16"/>
      <c r="U257" s="16"/>
      <c r="V257" s="22"/>
      <c r="W257" s="23"/>
    </row>
    <row r="258" ht="22.5" hidden="1" customHeight="1" spans="2:23">
      <c r="B258" s="15"/>
      <c r="C258" s="16"/>
      <c r="D258" s="17"/>
      <c r="E258" s="18"/>
      <c r="F258" s="19"/>
      <c r="G258" s="16"/>
      <c r="H258" s="16"/>
      <c r="I258" s="20"/>
      <c r="J258" s="19"/>
      <c r="K258" s="20"/>
      <c r="L258" s="20"/>
      <c r="M258" s="20"/>
      <c r="N258" s="19"/>
      <c r="O258" s="20"/>
      <c r="P258" s="20"/>
      <c r="Q258" s="20"/>
      <c r="R258" s="20"/>
      <c r="S258" s="21"/>
      <c r="T258" s="16"/>
      <c r="U258" s="16"/>
      <c r="V258" s="22"/>
      <c r="W258" s="23"/>
    </row>
    <row r="259" ht="22.5" hidden="1" customHeight="1" spans="2:23">
      <c r="B259" s="15"/>
      <c r="C259" s="16"/>
      <c r="D259" s="17"/>
      <c r="E259" s="18"/>
      <c r="F259" s="19"/>
      <c r="G259" s="16"/>
      <c r="H259" s="16"/>
      <c r="I259" s="20"/>
      <c r="J259" s="19"/>
      <c r="K259" s="20"/>
      <c r="L259" s="20"/>
      <c r="M259" s="20"/>
      <c r="N259" s="19"/>
      <c r="O259" s="20"/>
      <c r="P259" s="20"/>
      <c r="Q259" s="20"/>
      <c r="R259" s="20"/>
      <c r="S259" s="21"/>
      <c r="T259" s="16"/>
      <c r="U259" s="16"/>
      <c r="V259" s="22"/>
      <c r="W259" s="23"/>
    </row>
    <row r="260" ht="22.5" hidden="1" customHeight="1" spans="2:23">
      <c r="B260" s="15"/>
      <c r="C260" s="16"/>
      <c r="D260" s="17"/>
      <c r="E260" s="18"/>
      <c r="F260" s="19"/>
      <c r="G260" s="16"/>
      <c r="H260" s="16"/>
      <c r="I260" s="20"/>
      <c r="J260" s="19"/>
      <c r="K260" s="20"/>
      <c r="L260" s="20"/>
      <c r="M260" s="20"/>
      <c r="N260" s="19"/>
      <c r="O260" s="20"/>
      <c r="P260" s="20"/>
      <c r="Q260" s="20"/>
      <c r="R260" s="20"/>
      <c r="S260" s="21"/>
      <c r="T260" s="16"/>
      <c r="U260" s="16"/>
      <c r="V260" s="22"/>
      <c r="W260" s="23"/>
    </row>
    <row r="261" ht="22.5" hidden="1" customHeight="1" spans="2:23">
      <c r="B261" s="15"/>
      <c r="C261" s="16"/>
      <c r="D261" s="17"/>
      <c r="E261" s="18"/>
      <c r="F261" s="19"/>
      <c r="G261" s="16"/>
      <c r="H261" s="16"/>
      <c r="I261" s="20"/>
      <c r="J261" s="19"/>
      <c r="K261" s="20"/>
      <c r="L261" s="20"/>
      <c r="M261" s="20"/>
      <c r="N261" s="19"/>
      <c r="O261" s="20"/>
      <c r="P261" s="20"/>
      <c r="Q261" s="20"/>
      <c r="R261" s="20"/>
      <c r="S261" s="21"/>
      <c r="T261" s="16"/>
      <c r="U261" s="16"/>
      <c r="V261" s="22"/>
      <c r="W261" s="23"/>
    </row>
    <row r="262" ht="22.5" hidden="1" customHeight="1" spans="2:23">
      <c r="B262" s="15"/>
      <c r="C262" s="16"/>
      <c r="D262" s="17"/>
      <c r="E262" s="18"/>
      <c r="F262" s="19"/>
      <c r="G262" s="16"/>
      <c r="H262" s="16"/>
      <c r="I262" s="20"/>
      <c r="J262" s="19"/>
      <c r="K262" s="20"/>
      <c r="L262" s="20"/>
      <c r="M262" s="20"/>
      <c r="N262" s="19"/>
      <c r="O262" s="20"/>
      <c r="P262" s="20"/>
      <c r="Q262" s="20"/>
      <c r="R262" s="20"/>
      <c r="S262" s="21"/>
      <c r="T262" s="16"/>
      <c r="U262" s="16"/>
      <c r="V262" s="22"/>
      <c r="W262" s="23"/>
    </row>
    <row r="263" ht="22.5" hidden="1" customHeight="1" spans="2:23">
      <c r="B263" s="15"/>
      <c r="C263" s="16"/>
      <c r="D263" s="17"/>
      <c r="E263" s="18"/>
      <c r="F263" s="19"/>
      <c r="G263" s="16"/>
      <c r="H263" s="16"/>
      <c r="I263" s="20"/>
      <c r="J263" s="19"/>
      <c r="K263" s="20"/>
      <c r="L263" s="20"/>
      <c r="M263" s="20"/>
      <c r="N263" s="19"/>
      <c r="O263" s="20"/>
      <c r="P263" s="20"/>
      <c r="Q263" s="20"/>
      <c r="R263" s="20"/>
      <c r="S263" s="21"/>
      <c r="T263" s="16"/>
      <c r="U263" s="16"/>
      <c r="V263" s="22"/>
      <c r="W263" s="23"/>
    </row>
    <row r="264" ht="22.5" hidden="1" customHeight="1" spans="2:23">
      <c r="B264" s="15"/>
      <c r="C264" s="16"/>
      <c r="D264" s="17"/>
      <c r="E264" s="18"/>
      <c r="F264" s="19"/>
      <c r="G264" s="16"/>
      <c r="H264" s="16"/>
      <c r="I264" s="20"/>
      <c r="J264" s="19"/>
      <c r="K264" s="20"/>
      <c r="L264" s="20"/>
      <c r="M264" s="20"/>
      <c r="N264" s="19"/>
      <c r="O264" s="20"/>
      <c r="P264" s="20"/>
      <c r="Q264" s="20"/>
      <c r="R264" s="20"/>
      <c r="S264" s="21"/>
      <c r="T264" s="16"/>
      <c r="U264" s="16"/>
      <c r="V264" s="22"/>
      <c r="W264" s="23"/>
    </row>
    <row r="265" ht="22.5" hidden="1" customHeight="1" spans="2:23">
      <c r="B265" s="15"/>
      <c r="C265" s="16"/>
      <c r="D265" s="17"/>
      <c r="E265" s="18"/>
      <c r="F265" s="19"/>
      <c r="G265" s="16"/>
      <c r="H265" s="16"/>
      <c r="I265" s="20"/>
      <c r="J265" s="19"/>
      <c r="K265" s="20"/>
      <c r="L265" s="20"/>
      <c r="M265" s="20"/>
      <c r="N265" s="19"/>
      <c r="O265" s="20"/>
      <c r="P265" s="20"/>
      <c r="Q265" s="20"/>
      <c r="R265" s="20"/>
      <c r="S265" s="21"/>
      <c r="T265" s="16"/>
      <c r="U265" s="16"/>
      <c r="V265" s="22"/>
      <c r="W265" s="23"/>
    </row>
    <row r="266" ht="22.5" hidden="1" customHeight="1" spans="2:23">
      <c r="B266" s="15"/>
      <c r="C266" s="16"/>
      <c r="D266" s="17"/>
      <c r="E266" s="18"/>
      <c r="F266" s="19"/>
      <c r="G266" s="16"/>
      <c r="H266" s="16"/>
      <c r="I266" s="20"/>
      <c r="J266" s="19"/>
      <c r="K266" s="20"/>
      <c r="L266" s="20"/>
      <c r="M266" s="20"/>
      <c r="N266" s="19"/>
      <c r="O266" s="20"/>
      <c r="P266" s="20"/>
      <c r="Q266" s="20"/>
      <c r="R266" s="20"/>
      <c r="S266" s="21"/>
      <c r="T266" s="16"/>
      <c r="U266" s="16"/>
      <c r="V266" s="22"/>
      <c r="W266" s="23"/>
    </row>
    <row r="267" ht="22.5" hidden="1" customHeight="1" spans="2:23">
      <c r="B267" s="15"/>
      <c r="C267" s="16"/>
      <c r="D267" s="17"/>
      <c r="E267" s="18"/>
      <c r="F267" s="19"/>
      <c r="G267" s="16"/>
      <c r="H267" s="16"/>
      <c r="I267" s="20"/>
      <c r="J267" s="19"/>
      <c r="K267" s="20"/>
      <c r="L267" s="20"/>
      <c r="M267" s="20"/>
      <c r="N267" s="19"/>
      <c r="O267" s="20"/>
      <c r="P267" s="20"/>
      <c r="Q267" s="20"/>
      <c r="R267" s="20"/>
      <c r="S267" s="21"/>
      <c r="T267" s="16"/>
      <c r="U267" s="16"/>
      <c r="V267" s="22"/>
      <c r="W267" s="23"/>
    </row>
    <row r="268" ht="22.5" hidden="1" customHeight="1" spans="2:23">
      <c r="B268" s="15"/>
      <c r="C268" s="16"/>
      <c r="D268" s="17"/>
      <c r="E268" s="18"/>
      <c r="F268" s="19"/>
      <c r="G268" s="16"/>
      <c r="H268" s="16"/>
      <c r="I268" s="20"/>
      <c r="J268" s="19"/>
      <c r="K268" s="20"/>
      <c r="L268" s="20"/>
      <c r="M268" s="20"/>
      <c r="N268" s="19"/>
      <c r="O268" s="20"/>
      <c r="P268" s="20"/>
      <c r="Q268" s="20"/>
      <c r="R268" s="20"/>
      <c r="S268" s="21"/>
      <c r="T268" s="16"/>
      <c r="U268" s="16"/>
      <c r="V268" s="22"/>
      <c r="W268" s="23"/>
    </row>
    <row r="269" ht="22.5" hidden="1" customHeight="1" spans="2:23">
      <c r="B269" s="15"/>
      <c r="C269" s="16"/>
      <c r="D269" s="17"/>
      <c r="E269" s="18"/>
      <c r="F269" s="19"/>
      <c r="G269" s="16"/>
      <c r="H269" s="16"/>
      <c r="I269" s="20"/>
      <c r="J269" s="19"/>
      <c r="K269" s="20"/>
      <c r="L269" s="20"/>
      <c r="M269" s="20"/>
      <c r="N269" s="19"/>
      <c r="O269" s="20"/>
      <c r="P269" s="20"/>
      <c r="Q269" s="20"/>
      <c r="R269" s="20"/>
      <c r="S269" s="21"/>
      <c r="T269" s="16"/>
      <c r="U269" s="16"/>
      <c r="V269" s="22"/>
      <c r="W269" s="23"/>
    </row>
    <row r="270" ht="22.5" hidden="1" customHeight="1" spans="2:23">
      <c r="B270" s="15"/>
      <c r="C270" s="16"/>
      <c r="D270" s="17"/>
      <c r="E270" s="18"/>
      <c r="F270" s="19"/>
      <c r="G270" s="16"/>
      <c r="H270" s="16"/>
      <c r="I270" s="20"/>
      <c r="J270" s="19"/>
      <c r="K270" s="20"/>
      <c r="L270" s="20"/>
      <c r="M270" s="20"/>
      <c r="N270" s="19"/>
      <c r="O270" s="20"/>
      <c r="P270" s="20"/>
      <c r="Q270" s="20"/>
      <c r="R270" s="20"/>
      <c r="S270" s="21"/>
      <c r="T270" s="16"/>
      <c r="U270" s="16"/>
      <c r="V270" s="22"/>
      <c r="W270" s="23"/>
    </row>
    <row r="271" ht="22.5" hidden="1" customHeight="1" spans="2:23">
      <c r="B271" s="15"/>
      <c r="C271" s="16"/>
      <c r="D271" s="17"/>
      <c r="E271" s="18"/>
      <c r="F271" s="19"/>
      <c r="G271" s="16"/>
      <c r="H271" s="16"/>
      <c r="I271" s="20"/>
      <c r="J271" s="19"/>
      <c r="K271" s="20"/>
      <c r="L271" s="20"/>
      <c r="M271" s="20"/>
      <c r="N271" s="19"/>
      <c r="O271" s="20"/>
      <c r="P271" s="20"/>
      <c r="Q271" s="20"/>
      <c r="R271" s="20"/>
      <c r="S271" s="21"/>
      <c r="T271" s="16"/>
      <c r="U271" s="16"/>
      <c r="V271" s="22"/>
      <c r="W271" s="23"/>
    </row>
    <row r="272" ht="22.5" hidden="1" customHeight="1" spans="2:23">
      <c r="B272" s="15"/>
      <c r="C272" s="16"/>
      <c r="D272" s="17"/>
      <c r="E272" s="18"/>
      <c r="F272" s="19"/>
      <c r="G272" s="16"/>
      <c r="H272" s="16"/>
      <c r="I272" s="20"/>
      <c r="J272" s="19"/>
      <c r="K272" s="20"/>
      <c r="L272" s="20"/>
      <c r="M272" s="20"/>
      <c r="N272" s="19"/>
      <c r="O272" s="20"/>
      <c r="P272" s="20"/>
      <c r="Q272" s="20"/>
      <c r="R272" s="20"/>
      <c r="S272" s="21"/>
      <c r="T272" s="16"/>
      <c r="U272" s="16"/>
      <c r="V272" s="22"/>
      <c r="W272" s="23"/>
    </row>
    <row r="273" ht="22.5" hidden="1" customHeight="1" spans="2:23">
      <c r="B273" s="15"/>
      <c r="C273" s="16"/>
      <c r="D273" s="17"/>
      <c r="E273" s="18"/>
      <c r="F273" s="19"/>
      <c r="G273" s="16"/>
      <c r="H273" s="16"/>
      <c r="I273" s="20"/>
      <c r="J273" s="19"/>
      <c r="K273" s="20"/>
      <c r="L273" s="20"/>
      <c r="M273" s="20"/>
      <c r="N273" s="19"/>
      <c r="O273" s="20"/>
      <c r="P273" s="20"/>
      <c r="Q273" s="20"/>
      <c r="R273" s="20"/>
      <c r="S273" s="21"/>
      <c r="T273" s="16"/>
      <c r="U273" s="16"/>
      <c r="V273" s="22"/>
      <c r="W273" s="23"/>
    </row>
    <row r="274" ht="22.5" hidden="1" customHeight="1" spans="2:23">
      <c r="B274" s="15"/>
      <c r="C274" s="16"/>
      <c r="D274" s="17"/>
      <c r="E274" s="18"/>
      <c r="F274" s="19"/>
      <c r="G274" s="16"/>
      <c r="H274" s="16"/>
      <c r="I274" s="20"/>
      <c r="J274" s="19"/>
      <c r="K274" s="20"/>
      <c r="L274" s="20"/>
      <c r="M274" s="20"/>
      <c r="N274" s="19"/>
      <c r="O274" s="20"/>
      <c r="P274" s="20"/>
      <c r="Q274" s="20"/>
      <c r="R274" s="20"/>
      <c r="S274" s="21"/>
      <c r="T274" s="16"/>
      <c r="U274" s="16"/>
      <c r="V274" s="22"/>
      <c r="W274" s="23"/>
    </row>
    <row r="275" ht="22.5" hidden="1" customHeight="1" spans="2:23">
      <c r="B275" s="15"/>
      <c r="C275" s="16"/>
      <c r="D275" s="17"/>
      <c r="E275" s="18"/>
      <c r="F275" s="19"/>
      <c r="G275" s="16"/>
      <c r="H275" s="16"/>
      <c r="I275" s="20"/>
      <c r="J275" s="19"/>
      <c r="K275" s="20"/>
      <c r="L275" s="20"/>
      <c r="M275" s="20"/>
      <c r="N275" s="19"/>
      <c r="O275" s="20"/>
      <c r="P275" s="20"/>
      <c r="Q275" s="20"/>
      <c r="R275" s="20"/>
      <c r="S275" s="21"/>
      <c r="T275" s="16"/>
      <c r="U275" s="16"/>
      <c r="V275" s="22"/>
      <c r="W275" s="23"/>
    </row>
    <row r="276" ht="22.5" hidden="1" customHeight="1" spans="2:23">
      <c r="B276" s="15"/>
      <c r="C276" s="16"/>
      <c r="D276" s="17"/>
      <c r="E276" s="18"/>
      <c r="F276" s="19"/>
      <c r="G276" s="16"/>
      <c r="H276" s="16"/>
      <c r="I276" s="20"/>
      <c r="J276" s="19"/>
      <c r="K276" s="20"/>
      <c r="L276" s="20"/>
      <c r="M276" s="20"/>
      <c r="N276" s="19"/>
      <c r="O276" s="20"/>
      <c r="P276" s="20"/>
      <c r="Q276" s="20"/>
      <c r="R276" s="20"/>
      <c r="S276" s="21"/>
      <c r="T276" s="16"/>
      <c r="U276" s="16"/>
      <c r="V276" s="22"/>
      <c r="W276" s="23"/>
    </row>
    <row r="277" ht="22.5" hidden="1" customHeight="1" spans="2:23">
      <c r="B277" s="15"/>
      <c r="C277" s="16"/>
      <c r="D277" s="17"/>
      <c r="E277" s="18"/>
      <c r="F277" s="19"/>
      <c r="G277" s="16"/>
      <c r="H277" s="16"/>
      <c r="I277" s="20"/>
      <c r="J277" s="19"/>
      <c r="K277" s="20"/>
      <c r="L277" s="20"/>
      <c r="M277" s="20"/>
      <c r="N277" s="19"/>
      <c r="O277" s="20"/>
      <c r="P277" s="20"/>
      <c r="Q277" s="20"/>
      <c r="R277" s="20"/>
      <c r="S277" s="21"/>
      <c r="T277" s="16"/>
      <c r="U277" s="16"/>
      <c r="V277" s="22"/>
      <c r="W277" s="23"/>
    </row>
    <row r="278" ht="22.5" hidden="1" customHeight="1" spans="2:23">
      <c r="B278" s="15"/>
      <c r="C278" s="16"/>
      <c r="D278" s="17"/>
      <c r="E278" s="18"/>
      <c r="F278" s="19"/>
      <c r="G278" s="16"/>
      <c r="H278" s="16"/>
      <c r="I278" s="20"/>
      <c r="J278" s="19"/>
      <c r="K278" s="20"/>
      <c r="L278" s="20"/>
      <c r="M278" s="20"/>
      <c r="N278" s="19"/>
      <c r="O278" s="20"/>
      <c r="P278" s="20"/>
      <c r="Q278" s="20"/>
      <c r="R278" s="20"/>
      <c r="S278" s="21"/>
      <c r="T278" s="16"/>
      <c r="U278" s="16"/>
      <c r="V278" s="22"/>
      <c r="W278" s="23"/>
    </row>
    <row r="279" ht="22.5" hidden="1" customHeight="1" spans="2:23">
      <c r="B279" s="15"/>
      <c r="C279" s="16"/>
      <c r="D279" s="17"/>
      <c r="E279" s="18"/>
      <c r="F279" s="19"/>
      <c r="G279" s="16"/>
      <c r="H279" s="16"/>
      <c r="I279" s="20"/>
      <c r="J279" s="19"/>
      <c r="K279" s="20"/>
      <c r="L279" s="20"/>
      <c r="M279" s="20"/>
      <c r="N279" s="19"/>
      <c r="O279" s="20"/>
      <c r="P279" s="20"/>
      <c r="Q279" s="20"/>
      <c r="R279" s="20"/>
      <c r="S279" s="21"/>
      <c r="T279" s="16"/>
      <c r="U279" s="16"/>
      <c r="V279" s="22"/>
      <c r="W279" s="23"/>
    </row>
    <row r="280" ht="22.5" hidden="1" customHeight="1" spans="2:23">
      <c r="B280" s="15"/>
      <c r="C280" s="16"/>
      <c r="D280" s="17"/>
      <c r="E280" s="18"/>
      <c r="F280" s="19"/>
      <c r="G280" s="16"/>
      <c r="H280" s="16"/>
      <c r="I280" s="20"/>
      <c r="J280" s="19"/>
      <c r="K280" s="20"/>
      <c r="L280" s="20"/>
      <c r="M280" s="20"/>
      <c r="N280" s="19"/>
      <c r="O280" s="20"/>
      <c r="P280" s="20"/>
      <c r="Q280" s="20"/>
      <c r="R280" s="20"/>
      <c r="S280" s="21"/>
      <c r="T280" s="16"/>
      <c r="U280" s="16"/>
      <c r="V280" s="22"/>
      <c r="W280" s="23"/>
    </row>
    <row r="281" ht="22.5" hidden="1" customHeight="1" spans="2:23">
      <c r="B281" s="15"/>
      <c r="C281" s="16"/>
      <c r="D281" s="17"/>
      <c r="E281" s="18"/>
      <c r="F281" s="19"/>
      <c r="G281" s="16"/>
      <c r="H281" s="16"/>
      <c r="I281" s="20"/>
      <c r="J281" s="19"/>
      <c r="K281" s="20"/>
      <c r="L281" s="20"/>
      <c r="M281" s="20"/>
      <c r="N281" s="19"/>
      <c r="O281" s="20"/>
      <c r="P281" s="20"/>
      <c r="Q281" s="20"/>
      <c r="R281" s="20"/>
      <c r="S281" s="21"/>
      <c r="T281" s="16"/>
      <c r="U281" s="16"/>
      <c r="V281" s="22"/>
      <c r="W281" s="23"/>
    </row>
    <row r="282" ht="22.5" hidden="1" customHeight="1" spans="2:23">
      <c r="B282" s="15"/>
      <c r="C282" s="16"/>
      <c r="D282" s="17"/>
      <c r="E282" s="18"/>
      <c r="F282" s="19"/>
      <c r="G282" s="16"/>
      <c r="H282" s="16"/>
      <c r="I282" s="20"/>
      <c r="J282" s="19"/>
      <c r="K282" s="20"/>
      <c r="L282" s="20"/>
      <c r="M282" s="20"/>
      <c r="N282" s="19"/>
      <c r="O282" s="20"/>
      <c r="P282" s="20"/>
      <c r="Q282" s="20"/>
      <c r="R282" s="20"/>
      <c r="S282" s="21"/>
      <c r="T282" s="16"/>
      <c r="U282" s="16"/>
      <c r="V282" s="22"/>
      <c r="W282" s="23"/>
    </row>
    <row r="283" ht="22.5" hidden="1" customHeight="1" spans="2:23">
      <c r="B283" s="15"/>
      <c r="C283" s="16"/>
      <c r="D283" s="17"/>
      <c r="E283" s="18"/>
      <c r="F283" s="19"/>
      <c r="G283" s="16"/>
      <c r="H283" s="16"/>
      <c r="I283" s="20"/>
      <c r="J283" s="19"/>
      <c r="K283" s="20"/>
      <c r="L283" s="20"/>
      <c r="M283" s="20"/>
      <c r="N283" s="19"/>
      <c r="O283" s="20"/>
      <c r="P283" s="20"/>
      <c r="Q283" s="20"/>
      <c r="R283" s="20"/>
      <c r="S283" s="21"/>
      <c r="T283" s="16"/>
      <c r="U283" s="16"/>
      <c r="V283" s="22"/>
      <c r="W283" s="23"/>
    </row>
    <row r="284" ht="22.5" hidden="1" customHeight="1" spans="2:23">
      <c r="B284" s="15"/>
      <c r="C284" s="16"/>
      <c r="D284" s="17"/>
      <c r="E284" s="18"/>
      <c r="F284" s="19"/>
      <c r="G284" s="16"/>
      <c r="H284" s="16"/>
      <c r="I284" s="20"/>
      <c r="J284" s="19"/>
      <c r="K284" s="20"/>
      <c r="L284" s="20"/>
      <c r="M284" s="20"/>
      <c r="N284" s="19"/>
      <c r="O284" s="20"/>
      <c r="P284" s="20"/>
      <c r="Q284" s="20"/>
      <c r="R284" s="20"/>
      <c r="S284" s="21"/>
      <c r="T284" s="16"/>
      <c r="U284" s="16"/>
      <c r="V284" s="22"/>
      <c r="W284" s="23"/>
    </row>
    <row r="285" ht="22.5" customHeight="1" spans="2:23">
      <c r="B285" s="15">
        <v>1</v>
      </c>
      <c r="C285" s="24" t="s">
        <v>1257</v>
      </c>
      <c r="D285" s="25" t="s">
        <v>1258</v>
      </c>
      <c r="E285" s="24" t="s">
        <v>1259</v>
      </c>
      <c r="F285" s="26">
        <v>131.94</v>
      </c>
      <c r="G285" s="27" t="s">
        <v>1260</v>
      </c>
      <c r="H285" s="25" t="s">
        <v>1261</v>
      </c>
      <c r="I285" s="28">
        <v>40</v>
      </c>
      <c r="J285" s="29">
        <v>4625.2</v>
      </c>
      <c r="K285" s="30">
        <v>170608</v>
      </c>
      <c r="L285" s="30">
        <v>4265.2</v>
      </c>
      <c r="M285" s="30">
        <v>360</v>
      </c>
      <c r="N285" s="31">
        <v>1875</v>
      </c>
      <c r="O285" s="30">
        <v>60600</v>
      </c>
      <c r="P285" s="30">
        <v>1515</v>
      </c>
      <c r="Q285" s="30">
        <v>360</v>
      </c>
      <c r="R285" s="30">
        <v>2750.2</v>
      </c>
      <c r="S285" s="32">
        <v>14.2105</v>
      </c>
      <c r="T285" s="24" t="s">
        <v>1262</v>
      </c>
      <c r="U285" s="24" t="s">
        <v>1263</v>
      </c>
      <c r="V285" s="22">
        <v>45680</v>
      </c>
      <c r="W285" s="23">
        <v>40</v>
      </c>
    </row>
    <row r="286" ht="22.5" customHeight="1" spans="2:23">
      <c r="B286" s="15">
        <v>1</v>
      </c>
      <c r="C286" s="24" t="s">
        <v>1257</v>
      </c>
      <c r="D286" s="25" t="s">
        <v>1264</v>
      </c>
      <c r="E286" s="24" t="s">
        <v>1265</v>
      </c>
      <c r="F286" s="26">
        <v>118.69</v>
      </c>
      <c r="G286" s="27" t="s">
        <v>1260</v>
      </c>
      <c r="H286" s="25" t="s">
        <v>1261</v>
      </c>
      <c r="I286" s="28">
        <v>40</v>
      </c>
      <c r="J286" s="29">
        <v>3750.4</v>
      </c>
      <c r="K286" s="30">
        <v>74936</v>
      </c>
      <c r="L286" s="30">
        <v>1873.4</v>
      </c>
      <c r="M286" s="30">
        <v>1877</v>
      </c>
      <c r="N286" s="31">
        <v>2539.5</v>
      </c>
      <c r="O286" s="30">
        <v>27300</v>
      </c>
      <c r="P286" s="30">
        <v>682.5</v>
      </c>
      <c r="Q286" s="30">
        <v>1857</v>
      </c>
      <c r="R286" s="30">
        <v>1210.9</v>
      </c>
      <c r="S286" s="32">
        <v>21.3966</v>
      </c>
      <c r="T286" s="24" t="s">
        <v>1262</v>
      </c>
      <c r="U286" s="24" t="s">
        <v>1263</v>
      </c>
      <c r="V286" s="22">
        <v>45680</v>
      </c>
      <c r="W286" s="23">
        <v>40</v>
      </c>
    </row>
    <row r="287" ht="22.5" customHeight="1" spans="2:23">
      <c r="B287" s="15">
        <v>1</v>
      </c>
      <c r="C287" s="24" t="s">
        <v>1257</v>
      </c>
      <c r="D287" s="25" t="s">
        <v>1266</v>
      </c>
      <c r="E287" s="24" t="s">
        <v>1267</v>
      </c>
      <c r="F287" s="26">
        <v>107.75</v>
      </c>
      <c r="G287" s="27" t="s">
        <v>1260</v>
      </c>
      <c r="H287" s="25" t="s">
        <v>1261</v>
      </c>
      <c r="I287" s="28">
        <v>40</v>
      </c>
      <c r="J287" s="29">
        <v>3750.4</v>
      </c>
      <c r="K287" s="30">
        <v>74936</v>
      </c>
      <c r="L287" s="30">
        <v>1873.4</v>
      </c>
      <c r="M287" s="30">
        <v>1877</v>
      </c>
      <c r="N287" s="31">
        <v>2539.5</v>
      </c>
      <c r="O287" s="30">
        <v>27300</v>
      </c>
      <c r="P287" s="30">
        <v>682.5</v>
      </c>
      <c r="Q287" s="30">
        <v>1857</v>
      </c>
      <c r="R287" s="30">
        <v>1210.9</v>
      </c>
      <c r="S287" s="32">
        <v>23.569</v>
      </c>
      <c r="T287" s="24" t="s">
        <v>1262</v>
      </c>
      <c r="U287" s="24" t="s">
        <v>1263</v>
      </c>
      <c r="V287" s="22">
        <v>45680</v>
      </c>
      <c r="W287" s="23">
        <v>40</v>
      </c>
    </row>
    <row r="288" ht="22.5" customHeight="1" spans="2:23">
      <c r="B288" s="15">
        <v>1</v>
      </c>
      <c r="C288" s="24" t="s">
        <v>1268</v>
      </c>
      <c r="D288" s="25" t="s">
        <v>1269</v>
      </c>
      <c r="E288" s="24" t="s">
        <v>1270</v>
      </c>
      <c r="F288" s="26">
        <v>315.52</v>
      </c>
      <c r="G288" s="27" t="s">
        <v>1271</v>
      </c>
      <c r="H288" s="25" t="s">
        <v>1261</v>
      </c>
      <c r="I288" s="28">
        <v>31</v>
      </c>
      <c r="J288" s="29">
        <v>4688.85</v>
      </c>
      <c r="K288" s="30">
        <v>105000</v>
      </c>
      <c r="L288" s="30">
        <v>3387.1</v>
      </c>
      <c r="M288" s="30">
        <v>1301.75</v>
      </c>
      <c r="N288" s="31">
        <v>3250.15</v>
      </c>
      <c r="O288" s="30">
        <v>62020</v>
      </c>
      <c r="P288" s="30">
        <v>2000.65</v>
      </c>
      <c r="Q288" s="30">
        <v>1249.5</v>
      </c>
      <c r="R288" s="30">
        <v>1438.7</v>
      </c>
      <c r="S288" s="32">
        <v>10.301</v>
      </c>
      <c r="T288" s="24" t="s">
        <v>1272</v>
      </c>
      <c r="U288" s="24" t="s">
        <v>1263</v>
      </c>
      <c r="V288" s="22">
        <v>45715</v>
      </c>
      <c r="W288" s="23">
        <v>31</v>
      </c>
    </row>
    <row r="289" ht="22.5" customHeight="1" spans="2:23">
      <c r="B289" s="15">
        <v>1</v>
      </c>
      <c r="C289" s="24" t="s">
        <v>1268</v>
      </c>
      <c r="D289" s="25" t="s">
        <v>1273</v>
      </c>
      <c r="E289" s="24" t="s">
        <v>1259</v>
      </c>
      <c r="F289" s="26">
        <v>97.63</v>
      </c>
      <c r="G289" s="27" t="s">
        <v>1271</v>
      </c>
      <c r="H289" s="25" t="s">
        <v>1274</v>
      </c>
      <c r="I289" s="28">
        <v>31</v>
      </c>
      <c r="J289" s="29">
        <v>3125.73</v>
      </c>
      <c r="K289" s="30">
        <v>90000</v>
      </c>
      <c r="L289" s="30">
        <v>2903.23</v>
      </c>
      <c r="M289" s="30">
        <v>222.5</v>
      </c>
      <c r="N289" s="31">
        <v>1758.29</v>
      </c>
      <c r="O289" s="30">
        <v>47842</v>
      </c>
      <c r="P289" s="30">
        <v>1543.29</v>
      </c>
      <c r="Q289" s="30">
        <v>215</v>
      </c>
      <c r="R289" s="30">
        <v>1367.44</v>
      </c>
      <c r="S289" s="32">
        <v>18.0095</v>
      </c>
      <c r="T289" s="24" t="s">
        <v>1272</v>
      </c>
      <c r="U289" s="24" t="s">
        <v>1263</v>
      </c>
      <c r="V289" s="22">
        <v>45715</v>
      </c>
      <c r="W289" s="23">
        <v>31</v>
      </c>
    </row>
    <row r="290" ht="22.5" customHeight="1" spans="2:23">
      <c r="B290" s="15">
        <v>1</v>
      </c>
      <c r="C290" s="24" t="s">
        <v>1268</v>
      </c>
      <c r="D290" s="25" t="s">
        <v>1275</v>
      </c>
      <c r="E290" s="24" t="s">
        <v>1276</v>
      </c>
      <c r="F290" s="26">
        <v>76.33</v>
      </c>
      <c r="G290" s="27" t="s">
        <v>1271</v>
      </c>
      <c r="H290" s="25" t="s">
        <v>1261</v>
      </c>
      <c r="I290" s="28">
        <v>31</v>
      </c>
      <c r="J290" s="29">
        <v>2849.18</v>
      </c>
      <c r="K290" s="30">
        <v>41000</v>
      </c>
      <c r="L290" s="30">
        <v>1322.58</v>
      </c>
      <c r="M290" s="30">
        <v>1526.6</v>
      </c>
      <c r="N290" s="31">
        <v>2254.24</v>
      </c>
      <c r="O290" s="30">
        <v>26900</v>
      </c>
      <c r="P290" s="30">
        <v>867.74</v>
      </c>
      <c r="Q290" s="30">
        <v>1386.5</v>
      </c>
      <c r="R290" s="30">
        <v>594.94</v>
      </c>
      <c r="S290" s="32">
        <v>29.5339</v>
      </c>
      <c r="T290" s="24" t="s">
        <v>1272</v>
      </c>
      <c r="U290" s="24" t="s">
        <v>1263</v>
      </c>
      <c r="V290" s="22">
        <v>45715</v>
      </c>
      <c r="W290" s="23">
        <v>31</v>
      </c>
    </row>
    <row r="291" ht="22.5" customHeight="1" spans="2:23">
      <c r="B291" s="15">
        <v>1</v>
      </c>
      <c r="C291" s="24" t="s">
        <v>1268</v>
      </c>
      <c r="D291" s="25" t="s">
        <v>1277</v>
      </c>
      <c r="E291" s="24" t="s">
        <v>1278</v>
      </c>
      <c r="F291" s="26">
        <v>76.33</v>
      </c>
      <c r="G291" s="27" t="s">
        <v>1271</v>
      </c>
      <c r="H291" s="25" t="s">
        <v>1261</v>
      </c>
      <c r="I291" s="28">
        <v>31</v>
      </c>
      <c r="J291" s="29">
        <v>2849.18</v>
      </c>
      <c r="K291" s="30">
        <v>41000</v>
      </c>
      <c r="L291" s="30">
        <v>1322.58</v>
      </c>
      <c r="M291" s="30">
        <v>1526.6</v>
      </c>
      <c r="N291" s="31">
        <v>2254.24</v>
      </c>
      <c r="O291" s="30">
        <v>26900</v>
      </c>
      <c r="P291" s="30">
        <v>867.74</v>
      </c>
      <c r="Q291" s="30">
        <v>1386.5</v>
      </c>
      <c r="R291" s="30">
        <v>594.94</v>
      </c>
      <c r="S291" s="32">
        <v>29.5339</v>
      </c>
      <c r="T291" s="24" t="s">
        <v>1272</v>
      </c>
      <c r="U291" s="24" t="s">
        <v>1263</v>
      </c>
      <c r="V291" s="22">
        <v>45715</v>
      </c>
      <c r="W291" s="23">
        <v>31</v>
      </c>
    </row>
    <row r="292" ht="22.5" customHeight="1" spans="2:23">
      <c r="B292" s="15">
        <v>1</v>
      </c>
      <c r="C292" s="24" t="s">
        <v>1268</v>
      </c>
      <c r="D292" s="25" t="s">
        <v>1279</v>
      </c>
      <c r="E292" s="24" t="s">
        <v>1280</v>
      </c>
      <c r="F292" s="26">
        <v>57.63</v>
      </c>
      <c r="G292" s="27" t="s">
        <v>1271</v>
      </c>
      <c r="H292" s="25" t="s">
        <v>1261</v>
      </c>
      <c r="I292" s="28">
        <v>31</v>
      </c>
      <c r="J292" s="29">
        <v>1578.33</v>
      </c>
      <c r="K292" s="30">
        <v>41000</v>
      </c>
      <c r="L292" s="30">
        <v>1322.58</v>
      </c>
      <c r="M292" s="30">
        <v>255.75</v>
      </c>
      <c r="N292" s="31">
        <v>886.69</v>
      </c>
      <c r="O292" s="30">
        <v>20900</v>
      </c>
      <c r="P292" s="30">
        <v>674.19</v>
      </c>
      <c r="Q292" s="30">
        <v>212.5</v>
      </c>
      <c r="R292" s="30">
        <v>691.64</v>
      </c>
      <c r="S292" s="32">
        <v>15.3854</v>
      </c>
      <c r="T292" s="24" t="s">
        <v>1272</v>
      </c>
      <c r="U292" s="24" t="s">
        <v>1263</v>
      </c>
      <c r="V292" s="22">
        <v>45715</v>
      </c>
      <c r="W292" s="23">
        <v>31</v>
      </c>
    </row>
    <row r="293" ht="22.5" customHeight="1" spans="2:23">
      <c r="B293" s="15">
        <v>1</v>
      </c>
      <c r="C293" s="24" t="s">
        <v>1268</v>
      </c>
      <c r="D293" s="25" t="s">
        <v>1281</v>
      </c>
      <c r="E293" s="24" t="s">
        <v>1282</v>
      </c>
      <c r="F293" s="26">
        <v>57.63</v>
      </c>
      <c r="G293" s="27" t="s">
        <v>1271</v>
      </c>
      <c r="H293" s="25" t="s">
        <v>1261</v>
      </c>
      <c r="I293" s="28">
        <v>31</v>
      </c>
      <c r="J293" s="29">
        <v>1578.33</v>
      </c>
      <c r="K293" s="30">
        <v>41000</v>
      </c>
      <c r="L293" s="30">
        <v>1322.58</v>
      </c>
      <c r="M293" s="30">
        <v>255.75</v>
      </c>
      <c r="N293" s="31">
        <v>886.69</v>
      </c>
      <c r="O293" s="30">
        <v>20900</v>
      </c>
      <c r="P293" s="30">
        <v>674.19</v>
      </c>
      <c r="Q293" s="30">
        <v>212.5</v>
      </c>
      <c r="R293" s="30">
        <v>691.64</v>
      </c>
      <c r="S293" s="32">
        <v>15.3854</v>
      </c>
      <c r="T293" s="24" t="s">
        <v>1272</v>
      </c>
      <c r="U293" s="24" t="s">
        <v>1263</v>
      </c>
      <c r="V293" s="22">
        <v>45715</v>
      </c>
      <c r="W293" s="23">
        <v>31</v>
      </c>
    </row>
    <row r="294" ht="23.25" customHeight="1" spans="2:23">
      <c r="B294" s="15">
        <v>1</v>
      </c>
      <c r="C294" s="24" t="s">
        <v>213</v>
      </c>
      <c r="D294" s="25" t="s">
        <v>1283</v>
      </c>
      <c r="E294" s="24" t="s">
        <v>929</v>
      </c>
      <c r="F294" s="26">
        <v>970.71</v>
      </c>
      <c r="G294" s="27" t="s">
        <v>1260</v>
      </c>
      <c r="H294" s="25" t="s">
        <v>1284</v>
      </c>
      <c r="I294" s="28">
        <v>40</v>
      </c>
      <c r="J294" s="29">
        <v>3450</v>
      </c>
      <c r="K294" s="30">
        <v>106000</v>
      </c>
      <c r="L294" s="30">
        <v>2650</v>
      </c>
      <c r="M294" s="30">
        <v>800</v>
      </c>
      <c r="N294" s="31">
        <v>2525</v>
      </c>
      <c r="O294" s="30">
        <v>83000</v>
      </c>
      <c r="P294" s="30">
        <v>2075</v>
      </c>
      <c r="Q294" s="30">
        <v>450</v>
      </c>
      <c r="R294" s="30">
        <v>-925</v>
      </c>
      <c r="S294" s="32">
        <v>2.60118882055403</v>
      </c>
      <c r="T294" s="24" t="s">
        <v>1285</v>
      </c>
      <c r="U294" s="24" t="s">
        <v>574</v>
      </c>
      <c r="V294" s="22">
        <v>45698</v>
      </c>
      <c r="W294" s="23">
        <v>40</v>
      </c>
    </row>
    <row r="295" ht="22.5" customHeight="1" spans="2:23">
      <c r="B295" s="15">
        <v>1</v>
      </c>
      <c r="C295" s="24" t="s">
        <v>148</v>
      </c>
      <c r="D295" s="25" t="s">
        <v>1286</v>
      </c>
      <c r="E295" s="24" t="s">
        <v>925</v>
      </c>
      <c r="F295" s="26">
        <v>778.575392794986</v>
      </c>
      <c r="G295" s="27" t="s">
        <v>1260</v>
      </c>
      <c r="H295" s="25" t="s">
        <v>1284</v>
      </c>
      <c r="I295" s="28">
        <v>31</v>
      </c>
      <c r="J295" s="29">
        <v>5018.83870967742</v>
      </c>
      <c r="K295" s="30">
        <v>104000</v>
      </c>
      <c r="L295" s="30">
        <v>3354.83870967742</v>
      </c>
      <c r="M295" s="30">
        <v>1664</v>
      </c>
      <c r="N295" s="31">
        <v>3141.90475806452</v>
      </c>
      <c r="O295" s="30">
        <v>76540</v>
      </c>
      <c r="P295" s="30">
        <v>2469.03225806452</v>
      </c>
      <c r="Q295" s="30">
        <v>672.8725</v>
      </c>
      <c r="R295" s="30">
        <v>-1876.9339516129</v>
      </c>
      <c r="S295" s="32">
        <v>4.03545345401359</v>
      </c>
      <c r="T295" s="24" t="s">
        <v>1272</v>
      </c>
      <c r="U295" s="24" t="s">
        <v>574</v>
      </c>
      <c r="V295" s="22">
        <v>45714</v>
      </c>
      <c r="W295" s="23">
        <v>31</v>
      </c>
    </row>
    <row r="296" ht="22.5" customHeight="1" spans="2:23">
      <c r="B296" s="15">
        <v>1</v>
      </c>
      <c r="C296" s="24" t="s">
        <v>148</v>
      </c>
      <c r="D296" s="25" t="s">
        <v>1287</v>
      </c>
      <c r="E296" s="24" t="s">
        <v>929</v>
      </c>
      <c r="F296" s="26">
        <v>1102.64007842422</v>
      </c>
      <c r="G296" s="27" t="s">
        <v>1260</v>
      </c>
      <c r="H296" s="25" t="s">
        <v>1284</v>
      </c>
      <c r="I296" s="28">
        <v>31</v>
      </c>
      <c r="J296" s="29">
        <v>7348.22258064516</v>
      </c>
      <c r="K296" s="30">
        <v>133000</v>
      </c>
      <c r="L296" s="30">
        <v>4290.32258064516</v>
      </c>
      <c r="M296" s="30">
        <v>3057.9</v>
      </c>
      <c r="N296" s="31">
        <v>4134.35781801411</v>
      </c>
      <c r="O296" s="30">
        <v>86740</v>
      </c>
      <c r="P296" s="30">
        <v>2798.06451612903</v>
      </c>
      <c r="Q296" s="30">
        <v>1336.29330188508</v>
      </c>
      <c r="R296" s="30">
        <v>-3213.86476263105</v>
      </c>
      <c r="S296" s="32">
        <v>3.7495080207156</v>
      </c>
      <c r="T296" s="24" t="s">
        <v>1272</v>
      </c>
      <c r="U296" s="24" t="s">
        <v>574</v>
      </c>
      <c r="V296" s="22">
        <v>45714</v>
      </c>
      <c r="W296" s="23">
        <v>31</v>
      </c>
    </row>
    <row r="297" ht="22.5" customHeight="1" spans="2:23">
      <c r="B297" s="15">
        <v>1</v>
      </c>
      <c r="C297" s="33" t="s">
        <v>82</v>
      </c>
      <c r="D297" s="34" t="s">
        <v>83</v>
      </c>
      <c r="E297" s="33" t="s">
        <v>84</v>
      </c>
      <c r="F297" s="26">
        <v>120.860643132838</v>
      </c>
      <c r="G297" s="28" t="s">
        <v>1260</v>
      </c>
      <c r="H297" s="34" t="s">
        <v>1288</v>
      </c>
      <c r="I297" s="28">
        <v>53</v>
      </c>
      <c r="J297" s="29">
        <v>3101.88679245283</v>
      </c>
      <c r="K297" s="30">
        <v>69000</v>
      </c>
      <c r="L297" s="30">
        <v>1301.88679245283</v>
      </c>
      <c r="M297" s="30">
        <v>1800</v>
      </c>
      <c r="N297" s="31">
        <v>1865.54924132253</v>
      </c>
      <c r="O297" s="30">
        <v>40281.1686992338</v>
      </c>
      <c r="P297" s="30">
        <v>760.022050928939</v>
      </c>
      <c r="Q297" s="30">
        <v>1105.5271903936</v>
      </c>
      <c r="R297" s="30">
        <v>-1236.3375511303</v>
      </c>
      <c r="S297" s="32">
        <v>15.4355395848101</v>
      </c>
      <c r="T297" s="33" t="s">
        <v>1289</v>
      </c>
      <c r="U297" s="33" t="s">
        <v>87</v>
      </c>
      <c r="V297" s="22">
        <v>45733</v>
      </c>
      <c r="W297" s="23">
        <f>I297</f>
        <v>53</v>
      </c>
    </row>
    <row r="298" ht="22.5" customHeight="1" spans="2:23">
      <c r="B298" s="15">
        <v>1</v>
      </c>
      <c r="C298" s="24" t="s">
        <v>148</v>
      </c>
      <c r="D298" s="35" t="s">
        <v>1290</v>
      </c>
      <c r="E298" s="35" t="s">
        <v>1291</v>
      </c>
      <c r="F298" s="26">
        <v>150.42</v>
      </c>
      <c r="G298" s="27" t="s">
        <v>1271</v>
      </c>
      <c r="H298" s="25" t="s">
        <v>1292</v>
      </c>
      <c r="I298" s="28">
        <v>30</v>
      </c>
      <c r="J298" s="29">
        <v>9770.88167340492</v>
      </c>
      <c r="K298" s="30">
        <v>257960</v>
      </c>
      <c r="L298" s="30">
        <v>8598.66666666667</v>
      </c>
      <c r="M298" s="30">
        <v>1172.21500673825</v>
      </c>
      <c r="N298" s="31">
        <v>8684.60677083754</v>
      </c>
      <c r="O298" s="30">
        <v>239179.027595</v>
      </c>
      <c r="P298" s="30">
        <v>7972.63425316667</v>
      </c>
      <c r="Q298" s="30">
        <v>711.972517670874</v>
      </c>
      <c r="R298" s="30">
        <v>-1086.27490256738</v>
      </c>
      <c r="S298" s="32">
        <v>57.7357184605607</v>
      </c>
      <c r="T298" s="24" t="s">
        <v>1293</v>
      </c>
      <c r="U298" s="24" t="s">
        <v>239</v>
      </c>
      <c r="V298" s="22">
        <v>45722</v>
      </c>
      <c r="W298" s="23">
        <v>30</v>
      </c>
    </row>
    <row r="299" ht="22.5" customHeight="1" spans="2:23">
      <c r="B299" s="15">
        <v>1</v>
      </c>
      <c r="C299" s="24" t="s">
        <v>148</v>
      </c>
      <c r="D299" s="35" t="s">
        <v>1294</v>
      </c>
      <c r="E299" s="35" t="s">
        <v>1295</v>
      </c>
      <c r="F299" s="26">
        <v>1.78</v>
      </c>
      <c r="G299" s="27" t="s">
        <v>1271</v>
      </c>
      <c r="H299" s="25" t="s">
        <v>1292</v>
      </c>
      <c r="I299" s="28">
        <v>30</v>
      </c>
      <c r="J299" s="29">
        <v>0</v>
      </c>
      <c r="K299" s="30"/>
      <c r="L299" s="30">
        <v>0</v>
      </c>
      <c r="M299" s="30"/>
      <c r="N299" s="31">
        <v>0</v>
      </c>
      <c r="O299" s="30"/>
      <c r="P299" s="30">
        <v>0</v>
      </c>
      <c r="Q299" s="30"/>
      <c r="R299" s="30">
        <v>0</v>
      </c>
      <c r="S299" s="32">
        <v>0</v>
      </c>
      <c r="T299" s="24" t="s">
        <v>1293</v>
      </c>
      <c r="U299" s="24" t="s">
        <v>239</v>
      </c>
      <c r="V299" s="22">
        <v>45722</v>
      </c>
      <c r="W299" s="23">
        <v>30</v>
      </c>
    </row>
    <row r="300" ht="22.5" customHeight="1" spans="2:23">
      <c r="B300" s="15">
        <v>1</v>
      </c>
      <c r="C300" s="24" t="s">
        <v>148</v>
      </c>
      <c r="D300" s="35" t="s">
        <v>1296</v>
      </c>
      <c r="E300" s="35" t="s">
        <v>1297</v>
      </c>
      <c r="F300" s="26">
        <v>1.71</v>
      </c>
      <c r="G300" s="27" t="s">
        <v>1271</v>
      </c>
      <c r="H300" s="25" t="s">
        <v>1292</v>
      </c>
      <c r="I300" s="28">
        <v>30</v>
      </c>
      <c r="J300" s="29">
        <v>0</v>
      </c>
      <c r="K300" s="30">
        <v>0</v>
      </c>
      <c r="L300" s="30">
        <v>0</v>
      </c>
      <c r="M300" s="30"/>
      <c r="N300" s="31">
        <v>0</v>
      </c>
      <c r="O300" s="30">
        <v>0</v>
      </c>
      <c r="P300" s="30">
        <v>0</v>
      </c>
      <c r="Q300" s="30"/>
      <c r="R300" s="30">
        <v>0</v>
      </c>
      <c r="S300" s="32">
        <v>0</v>
      </c>
      <c r="T300" s="24" t="s">
        <v>1293</v>
      </c>
      <c r="U300" s="24" t="s">
        <v>239</v>
      </c>
      <c r="V300" s="22">
        <v>45722</v>
      </c>
      <c r="W300" s="23">
        <v>30</v>
      </c>
    </row>
    <row r="301" ht="22.5" customHeight="1" spans="2:23">
      <c r="B301" s="15">
        <v>1</v>
      </c>
      <c r="C301" s="24" t="s">
        <v>213</v>
      </c>
      <c r="D301" s="25" t="s">
        <v>329</v>
      </c>
      <c r="E301" s="24" t="s">
        <v>330</v>
      </c>
      <c r="F301" s="26">
        <v>488.28</v>
      </c>
      <c r="G301" s="27" t="s">
        <v>1271</v>
      </c>
      <c r="H301" s="25" t="s">
        <v>1298</v>
      </c>
      <c r="I301" s="28">
        <v>40</v>
      </c>
      <c r="J301" s="29">
        <v>9693.5</v>
      </c>
      <c r="K301" s="30">
        <v>280340</v>
      </c>
      <c r="L301" s="30">
        <v>10382.962962963</v>
      </c>
      <c r="M301" s="30">
        <v>9693.5</v>
      </c>
      <c r="N301" s="31">
        <v>7772.32688850619</v>
      </c>
      <c r="O301" s="30">
        <v>241294.26</v>
      </c>
      <c r="P301" s="30">
        <v>8936.82444444444</v>
      </c>
      <c r="Q301" s="30">
        <v>7772.32688850619</v>
      </c>
      <c r="R301" s="30">
        <v>-1921.17311149381</v>
      </c>
      <c r="S301" s="32">
        <v>15.9177662171422</v>
      </c>
      <c r="T301" s="24" t="s">
        <v>1299</v>
      </c>
      <c r="U301" s="24" t="s">
        <v>128</v>
      </c>
      <c r="V301" s="22">
        <v>45722</v>
      </c>
      <c r="W301" s="23">
        <v>40</v>
      </c>
    </row>
    <row r="302" ht="22.5" customHeight="1" spans="2:23">
      <c r="B302" s="15">
        <v>1</v>
      </c>
      <c r="C302" s="24" t="s">
        <v>213</v>
      </c>
      <c r="D302" s="25" t="s">
        <v>329</v>
      </c>
      <c r="E302" s="24" t="s">
        <v>1300</v>
      </c>
      <c r="F302" s="26">
        <v>23.69</v>
      </c>
      <c r="G302" s="27" t="s">
        <v>1271</v>
      </c>
      <c r="H302" s="25" t="s">
        <v>1298</v>
      </c>
      <c r="I302" s="28">
        <v>40</v>
      </c>
      <c r="J302" s="29">
        <v>341</v>
      </c>
      <c r="K302" s="30">
        <v>3800</v>
      </c>
      <c r="L302" s="30">
        <v>140.740740740741</v>
      </c>
      <c r="M302" s="30">
        <v>341</v>
      </c>
      <c r="N302" s="31">
        <v>340.873111493813</v>
      </c>
      <c r="O302" s="30">
        <v>2443.98</v>
      </c>
      <c r="P302" s="30">
        <v>90.5177777777778</v>
      </c>
      <c r="Q302" s="30">
        <v>340.873111493813</v>
      </c>
      <c r="R302" s="30">
        <v>-0.126888506186731</v>
      </c>
      <c r="S302" s="32">
        <v>14.3889029756781</v>
      </c>
      <c r="T302" s="24" t="s">
        <v>1299</v>
      </c>
      <c r="U302" s="24" t="s">
        <v>128</v>
      </c>
      <c r="V302" s="22">
        <v>45722</v>
      </c>
      <c r="W302" s="23">
        <v>40</v>
      </c>
    </row>
    <row r="303" ht="22.5" customHeight="1" spans="2:23">
      <c r="B303" s="15">
        <v>1</v>
      </c>
      <c r="C303" s="24" t="s">
        <v>148</v>
      </c>
      <c r="D303" s="25" t="s">
        <v>329</v>
      </c>
      <c r="E303" s="24" t="s">
        <v>330</v>
      </c>
      <c r="F303" s="26">
        <v>547.5</v>
      </c>
      <c r="G303" s="27" t="s">
        <v>1260</v>
      </c>
      <c r="H303" s="25" t="s">
        <v>1301</v>
      </c>
      <c r="I303" s="28">
        <v>27</v>
      </c>
      <c r="J303" s="29">
        <v>14370</v>
      </c>
      <c r="K303" s="30">
        <v>321698</v>
      </c>
      <c r="L303" s="30">
        <v>11914.7407407407</v>
      </c>
      <c r="M303" s="30">
        <v>14370</v>
      </c>
      <c r="N303" s="31">
        <v>11505</v>
      </c>
      <c r="O303" s="30">
        <v>255669</v>
      </c>
      <c r="P303" s="30">
        <v>9469.22222222222</v>
      </c>
      <c r="Q303" s="30">
        <v>11505</v>
      </c>
      <c r="R303" s="30">
        <v>-2865</v>
      </c>
      <c r="S303" s="32">
        <v>21.013698630137</v>
      </c>
      <c r="T303" s="24" t="s">
        <v>1302</v>
      </c>
      <c r="U303" s="24" t="s">
        <v>128</v>
      </c>
      <c r="V303" s="22">
        <v>45719</v>
      </c>
      <c r="W303" s="23">
        <v>40</v>
      </c>
    </row>
    <row r="304" ht="22.5" customHeight="1" spans="2:23">
      <c r="B304" s="15">
        <v>1</v>
      </c>
      <c r="C304" s="36" t="s">
        <v>828</v>
      </c>
      <c r="D304" s="37" t="s">
        <v>1303</v>
      </c>
      <c r="E304" s="36" t="s">
        <v>1304</v>
      </c>
      <c r="F304" s="38">
        <v>774.140812069943</v>
      </c>
      <c r="G304" s="39" t="s">
        <v>1260</v>
      </c>
      <c r="H304" s="36" t="s">
        <v>1305</v>
      </c>
      <c r="I304" s="28">
        <v>0</v>
      </c>
      <c r="J304" s="29">
        <f t="shared" ref="J304:J333" si="0">M304+L304</f>
        <v>1050.14081206994</v>
      </c>
      <c r="K304" s="30" t="s">
        <v>544</v>
      </c>
      <c r="L304" s="30">
        <v>0</v>
      </c>
      <c r="M304" s="30">
        <v>1050.14081206994</v>
      </c>
      <c r="N304" s="31">
        <f t="shared" ref="N304:N333" si="1">Q304+P304</f>
        <v>1040.78081206994</v>
      </c>
      <c r="O304" s="30" t="s">
        <v>544</v>
      </c>
      <c r="P304" s="30">
        <v>0</v>
      </c>
      <c r="Q304" s="30">
        <v>1040.78081206994</v>
      </c>
      <c r="R304" s="30">
        <f t="shared" ref="R304:R332" si="2">N304-J304</f>
        <v>-9.35999999999717</v>
      </c>
      <c r="S304" s="32">
        <f t="shared" ref="S304:S333" si="3">N304/F304</f>
        <v>1.34443346203004</v>
      </c>
      <c r="T304" s="24" t="s">
        <v>1306</v>
      </c>
      <c r="U304" s="24" t="s">
        <v>340</v>
      </c>
      <c r="V304" s="22">
        <v>45803</v>
      </c>
      <c r="W304" s="23">
        <v>10</v>
      </c>
    </row>
    <row r="305" ht="22.5" customHeight="1" spans="2:23">
      <c r="B305" s="15">
        <v>1</v>
      </c>
      <c r="C305" s="36" t="s">
        <v>828</v>
      </c>
      <c r="D305" s="37" t="s">
        <v>1307</v>
      </c>
      <c r="E305" s="36" t="s">
        <v>1308</v>
      </c>
      <c r="F305" s="38">
        <v>706.640713342395</v>
      </c>
      <c r="G305" s="39" t="s">
        <v>1260</v>
      </c>
      <c r="H305" s="36" t="s">
        <v>1305</v>
      </c>
      <c r="I305" s="28">
        <v>0</v>
      </c>
      <c r="J305" s="29">
        <f t="shared" si="0"/>
        <v>982.640713342395</v>
      </c>
      <c r="K305" s="30" t="s">
        <v>544</v>
      </c>
      <c r="L305" s="30">
        <v>0</v>
      </c>
      <c r="M305" s="30">
        <v>982.640713342395</v>
      </c>
      <c r="N305" s="31">
        <f t="shared" si="1"/>
        <v>973.280713342395</v>
      </c>
      <c r="O305" s="30" t="s">
        <v>544</v>
      </c>
      <c r="P305" s="30">
        <v>0</v>
      </c>
      <c r="Q305" s="30">
        <v>973.280713342395</v>
      </c>
      <c r="R305" s="30">
        <f t="shared" si="2"/>
        <v>-9.36000000000001</v>
      </c>
      <c r="S305" s="32">
        <f t="shared" si="3"/>
        <v>1.37733461285976</v>
      </c>
      <c r="T305" s="24" t="s">
        <v>1306</v>
      </c>
      <c r="U305" s="24" t="s">
        <v>340</v>
      </c>
      <c r="V305" s="22">
        <v>45803</v>
      </c>
      <c r="W305" s="23">
        <v>10</v>
      </c>
    </row>
    <row r="306" ht="22.5" customHeight="1" spans="2:23">
      <c r="B306" s="15">
        <v>1</v>
      </c>
      <c r="C306" s="36" t="s">
        <v>828</v>
      </c>
      <c r="D306" s="37" t="s">
        <v>1309</v>
      </c>
      <c r="E306" s="36" t="s">
        <v>1310</v>
      </c>
      <c r="F306" s="38">
        <v>672.515696276871</v>
      </c>
      <c r="G306" s="39" t="s">
        <v>1260</v>
      </c>
      <c r="H306" s="36" t="s">
        <v>1305</v>
      </c>
      <c r="I306" s="28">
        <v>0</v>
      </c>
      <c r="J306" s="29">
        <f t="shared" si="0"/>
        <v>912.515696276871</v>
      </c>
      <c r="K306" s="30" t="s">
        <v>544</v>
      </c>
      <c r="L306" s="30">
        <v>0</v>
      </c>
      <c r="M306" s="30">
        <v>912.515696276871</v>
      </c>
      <c r="N306" s="31">
        <f t="shared" si="1"/>
        <v>906.548096276871</v>
      </c>
      <c r="O306" s="30" t="s">
        <v>544</v>
      </c>
      <c r="P306" s="30">
        <v>0</v>
      </c>
      <c r="Q306" s="30">
        <v>906.548096276871</v>
      </c>
      <c r="R306" s="30">
        <f t="shared" si="2"/>
        <v>-5.96759999999995</v>
      </c>
      <c r="S306" s="32">
        <f t="shared" si="3"/>
        <v>1.34799544649386</v>
      </c>
      <c r="T306" s="24" t="s">
        <v>1306</v>
      </c>
      <c r="U306" s="24" t="s">
        <v>340</v>
      </c>
      <c r="V306" s="22">
        <v>45803</v>
      </c>
      <c r="W306" s="23">
        <v>10</v>
      </c>
    </row>
    <row r="307" ht="22.5" customHeight="1" spans="2:23">
      <c r="B307" s="15">
        <v>1</v>
      </c>
      <c r="C307" s="36" t="s">
        <v>828</v>
      </c>
      <c r="D307" s="37" t="s">
        <v>1311</v>
      </c>
      <c r="E307" s="36" t="s">
        <v>1312</v>
      </c>
      <c r="F307" s="38">
        <v>256.702778310792</v>
      </c>
      <c r="G307" s="39" t="s">
        <v>1260</v>
      </c>
      <c r="H307" s="36" t="s">
        <v>1305</v>
      </c>
      <c r="I307" s="28">
        <v>0</v>
      </c>
      <c r="J307" s="29">
        <f t="shared" si="0"/>
        <v>523.702778310792</v>
      </c>
      <c r="K307" s="30" t="s">
        <v>544</v>
      </c>
      <c r="L307" s="30">
        <v>0</v>
      </c>
      <c r="M307" s="30">
        <v>523.702778310792</v>
      </c>
      <c r="N307" s="31">
        <f t="shared" si="1"/>
        <v>516.738778310792</v>
      </c>
      <c r="O307" s="30" t="s">
        <v>544</v>
      </c>
      <c r="P307" s="30">
        <v>0</v>
      </c>
      <c r="Q307" s="30">
        <v>516.738778310792</v>
      </c>
      <c r="R307" s="30">
        <f t="shared" si="2"/>
        <v>-6.96400000000006</v>
      </c>
      <c r="S307" s="32">
        <f t="shared" si="3"/>
        <v>2.01298475112401</v>
      </c>
      <c r="T307" s="24" t="s">
        <v>1306</v>
      </c>
      <c r="U307" s="24" t="s">
        <v>340</v>
      </c>
      <c r="V307" s="22">
        <v>45803</v>
      </c>
      <c r="W307" s="23">
        <v>10</v>
      </c>
    </row>
    <row r="308" ht="22.5" customHeight="1" spans="2:23">
      <c r="B308" s="15">
        <v>1</v>
      </c>
      <c r="C308" s="36" t="s">
        <v>828</v>
      </c>
      <c r="D308" s="37" t="s">
        <v>1313</v>
      </c>
      <c r="E308" s="36" t="s">
        <v>1304</v>
      </c>
      <c r="F308" s="38">
        <v>1982.26594822596</v>
      </c>
      <c r="G308" s="39" t="s">
        <v>1260</v>
      </c>
      <c r="H308" s="36" t="s">
        <v>1305</v>
      </c>
      <c r="I308" s="28">
        <v>0</v>
      </c>
      <c r="J308" s="29">
        <f t="shared" si="0"/>
        <v>2258.26594822596</v>
      </c>
      <c r="K308" s="30" t="s">
        <v>544</v>
      </c>
      <c r="L308" s="30">
        <v>0</v>
      </c>
      <c r="M308" s="30">
        <v>2258.26594822596</v>
      </c>
      <c r="N308" s="31">
        <f t="shared" si="1"/>
        <v>2248.90594822596</v>
      </c>
      <c r="O308" s="30" t="s">
        <v>544</v>
      </c>
      <c r="P308" s="30">
        <v>0</v>
      </c>
      <c r="Q308" s="30">
        <v>2248.90594822596</v>
      </c>
      <c r="R308" s="30">
        <f t="shared" si="2"/>
        <v>-9.36000000000013</v>
      </c>
      <c r="S308" s="32">
        <f t="shared" si="3"/>
        <v>1.13451272783989</v>
      </c>
      <c r="T308" s="24" t="s">
        <v>1306</v>
      </c>
      <c r="U308" s="24" t="s">
        <v>340</v>
      </c>
      <c r="V308" s="22">
        <v>45803</v>
      </c>
      <c r="W308" s="40">
        <v>58</v>
      </c>
    </row>
    <row r="309" ht="22.5" customHeight="1" spans="2:23">
      <c r="B309" s="15">
        <v>1</v>
      </c>
      <c r="C309" s="36" t="s">
        <v>828</v>
      </c>
      <c r="D309" s="37" t="s">
        <v>1314</v>
      </c>
      <c r="E309" s="36" t="s">
        <v>1308</v>
      </c>
      <c r="F309" s="38">
        <v>1661.70348323996</v>
      </c>
      <c r="G309" s="39" t="s">
        <v>1260</v>
      </c>
      <c r="H309" s="36" t="s">
        <v>1305</v>
      </c>
      <c r="I309" s="28">
        <v>0</v>
      </c>
      <c r="J309" s="29">
        <f t="shared" si="0"/>
        <v>1937.70348323996</v>
      </c>
      <c r="K309" s="30" t="s">
        <v>544</v>
      </c>
      <c r="L309" s="30">
        <v>0</v>
      </c>
      <c r="M309" s="30">
        <v>1937.70348323996</v>
      </c>
      <c r="N309" s="31">
        <f t="shared" si="1"/>
        <v>1928.34348323996</v>
      </c>
      <c r="O309" s="30" t="s">
        <v>544</v>
      </c>
      <c r="P309" s="30">
        <v>0</v>
      </c>
      <c r="Q309" s="30">
        <v>1928.34348323996</v>
      </c>
      <c r="R309" s="30">
        <f t="shared" si="2"/>
        <v>-9.36000000000013</v>
      </c>
      <c r="S309" s="32">
        <f t="shared" si="3"/>
        <v>1.16046184092971</v>
      </c>
      <c r="T309" s="24" t="s">
        <v>1306</v>
      </c>
      <c r="U309" s="24" t="s">
        <v>340</v>
      </c>
      <c r="V309" s="22">
        <v>45803</v>
      </c>
      <c r="W309" s="40">
        <v>58</v>
      </c>
    </row>
    <row r="310" ht="22.5" customHeight="1" spans="2:23">
      <c r="B310" s="15">
        <v>1</v>
      </c>
      <c r="C310" s="36" t="s">
        <v>828</v>
      </c>
      <c r="D310" s="37" t="s">
        <v>1315</v>
      </c>
      <c r="E310" s="36" t="s">
        <v>1316</v>
      </c>
      <c r="F310" s="38">
        <v>304.872094981326</v>
      </c>
      <c r="G310" s="39" t="s">
        <v>1260</v>
      </c>
      <c r="H310" s="36" t="s">
        <v>1305</v>
      </c>
      <c r="I310" s="28">
        <v>0</v>
      </c>
      <c r="J310" s="29">
        <f t="shared" si="0"/>
        <v>464.872094981326</v>
      </c>
      <c r="K310" s="30" t="s">
        <v>544</v>
      </c>
      <c r="L310" s="30">
        <v>0</v>
      </c>
      <c r="M310" s="30">
        <v>464.872094981326</v>
      </c>
      <c r="N310" s="31">
        <f t="shared" si="1"/>
        <v>460.893694981326</v>
      </c>
      <c r="O310" s="30" t="s">
        <v>544</v>
      </c>
      <c r="P310" s="30">
        <v>0</v>
      </c>
      <c r="Q310" s="30">
        <v>460.893694981326</v>
      </c>
      <c r="R310" s="30">
        <f t="shared" si="2"/>
        <v>-3.97839999999996</v>
      </c>
      <c r="S310" s="32">
        <f t="shared" si="3"/>
        <v>1.51176084190177</v>
      </c>
      <c r="T310" s="24" t="s">
        <v>1306</v>
      </c>
      <c r="U310" s="24" t="s">
        <v>340</v>
      </c>
      <c r="V310" s="22">
        <v>45803</v>
      </c>
      <c r="W310" s="40">
        <v>58</v>
      </c>
    </row>
    <row r="311" ht="22.5" customHeight="1" spans="2:23">
      <c r="B311" s="15">
        <v>1</v>
      </c>
      <c r="C311" s="36" t="s">
        <v>828</v>
      </c>
      <c r="D311" s="37" t="s">
        <v>1317</v>
      </c>
      <c r="E311" s="36" t="s">
        <v>1318</v>
      </c>
      <c r="F311" s="38">
        <v>511.043784990663</v>
      </c>
      <c r="G311" s="39" t="s">
        <v>1260</v>
      </c>
      <c r="H311" s="36" t="s">
        <v>1305</v>
      </c>
      <c r="I311" s="28">
        <v>0</v>
      </c>
      <c r="J311" s="29">
        <f t="shared" si="0"/>
        <v>751.043784990663</v>
      </c>
      <c r="K311" s="30" t="s">
        <v>544</v>
      </c>
      <c r="L311" s="30">
        <v>0</v>
      </c>
      <c r="M311" s="30">
        <v>751.043784990663</v>
      </c>
      <c r="N311" s="31">
        <f t="shared" si="1"/>
        <v>745.076184990663</v>
      </c>
      <c r="O311" s="30" t="s">
        <v>544</v>
      </c>
      <c r="P311" s="30">
        <v>0</v>
      </c>
      <c r="Q311" s="30">
        <v>745.076184990663</v>
      </c>
      <c r="R311" s="30">
        <f t="shared" si="2"/>
        <v>-5.96759999999995</v>
      </c>
      <c r="S311" s="32">
        <f t="shared" si="3"/>
        <v>1.45794980170687</v>
      </c>
      <c r="T311" s="24" t="s">
        <v>1306</v>
      </c>
      <c r="U311" s="24" t="s">
        <v>340</v>
      </c>
      <c r="V311" s="22">
        <v>45803</v>
      </c>
      <c r="W311" s="40">
        <v>58</v>
      </c>
    </row>
    <row r="312" ht="22.5" customHeight="1" spans="2:23">
      <c r="B312" s="15">
        <v>1</v>
      </c>
      <c r="C312" s="36" t="s">
        <v>828</v>
      </c>
      <c r="D312" s="37" t="s">
        <v>1319</v>
      </c>
      <c r="E312" s="36" t="s">
        <v>1312</v>
      </c>
      <c r="F312" s="38">
        <v>274.817688562091</v>
      </c>
      <c r="G312" s="39" t="s">
        <v>1260</v>
      </c>
      <c r="H312" s="36" t="s">
        <v>1305</v>
      </c>
      <c r="I312" s="28">
        <v>0</v>
      </c>
      <c r="J312" s="29">
        <f t="shared" si="0"/>
        <v>541.817688562091</v>
      </c>
      <c r="K312" s="30" t="s">
        <v>544</v>
      </c>
      <c r="L312" s="30">
        <v>0</v>
      </c>
      <c r="M312" s="30">
        <v>541.817688562091</v>
      </c>
      <c r="N312" s="31">
        <f t="shared" si="1"/>
        <v>534.853688562091</v>
      </c>
      <c r="O312" s="30" t="s">
        <v>544</v>
      </c>
      <c r="P312" s="30">
        <v>0</v>
      </c>
      <c r="Q312" s="30">
        <v>534.853688562091</v>
      </c>
      <c r="R312" s="30">
        <f t="shared" si="2"/>
        <v>-6.96399999999994</v>
      </c>
      <c r="S312" s="32">
        <f t="shared" si="3"/>
        <v>1.94621274693259</v>
      </c>
      <c r="T312" s="24" t="s">
        <v>1306</v>
      </c>
      <c r="U312" s="24" t="s">
        <v>340</v>
      </c>
      <c r="V312" s="22">
        <v>45803</v>
      </c>
      <c r="W312" s="40">
        <v>58</v>
      </c>
    </row>
    <row r="313" ht="22.5" customHeight="1" spans="2:23">
      <c r="B313" s="15">
        <v>1</v>
      </c>
      <c r="C313" s="36" t="s">
        <v>828</v>
      </c>
      <c r="D313" s="37" t="s">
        <v>1320</v>
      </c>
      <c r="E313" s="36" t="s">
        <v>1321</v>
      </c>
      <c r="F313" s="38">
        <v>27.297</v>
      </c>
      <c r="G313" s="39" t="s">
        <v>1260</v>
      </c>
      <c r="H313" s="36" t="s">
        <v>1305</v>
      </c>
      <c r="I313" s="28">
        <v>0</v>
      </c>
      <c r="J313" s="29">
        <f t="shared" si="0"/>
        <v>27.297</v>
      </c>
      <c r="K313" s="30" t="s">
        <v>544</v>
      </c>
      <c r="L313" s="30">
        <v>0</v>
      </c>
      <c r="M313" s="30">
        <v>27.297</v>
      </c>
      <c r="N313" s="31">
        <f t="shared" si="1"/>
        <v>27.297</v>
      </c>
      <c r="O313" s="30" t="s">
        <v>544</v>
      </c>
      <c r="P313" s="30">
        <v>0</v>
      </c>
      <c r="Q313" s="30">
        <v>27.297</v>
      </c>
      <c r="R313" s="30">
        <f t="shared" si="2"/>
        <v>0</v>
      </c>
      <c r="S313" s="32">
        <f t="shared" si="3"/>
        <v>1</v>
      </c>
      <c r="T313" s="24" t="s">
        <v>1306</v>
      </c>
      <c r="U313" s="24" t="s">
        <v>340</v>
      </c>
      <c r="V313" s="22">
        <v>45803</v>
      </c>
      <c r="W313" s="40">
        <v>58</v>
      </c>
    </row>
    <row r="314" ht="22.5" customHeight="1" spans="2:23">
      <c r="B314" s="15">
        <v>1</v>
      </c>
      <c r="C314" s="36" t="s">
        <v>828</v>
      </c>
      <c r="D314" s="37" t="s">
        <v>1313</v>
      </c>
      <c r="E314" s="36" t="s">
        <v>1304</v>
      </c>
      <c r="F314" s="38">
        <v>1982.26594822596</v>
      </c>
      <c r="G314" s="39" t="s">
        <v>1260</v>
      </c>
      <c r="H314" s="36" t="s">
        <v>1305</v>
      </c>
      <c r="I314" s="28">
        <v>0</v>
      </c>
      <c r="J314" s="29">
        <f t="shared" si="0"/>
        <v>2258.26594822596</v>
      </c>
      <c r="K314" s="30" t="s">
        <v>544</v>
      </c>
      <c r="L314" s="30">
        <v>0</v>
      </c>
      <c r="M314" s="30">
        <v>2258.26594822596</v>
      </c>
      <c r="N314" s="31">
        <f t="shared" si="1"/>
        <v>2248.90594822596</v>
      </c>
      <c r="O314" s="30" t="s">
        <v>544</v>
      </c>
      <c r="P314" s="30">
        <v>0</v>
      </c>
      <c r="Q314" s="30">
        <v>2248.90594822596</v>
      </c>
      <c r="R314" s="30">
        <f t="shared" si="2"/>
        <v>-9.36000000000013</v>
      </c>
      <c r="S314" s="32">
        <f t="shared" si="3"/>
        <v>1.13451272783989</v>
      </c>
      <c r="T314" s="24" t="s">
        <v>1306</v>
      </c>
      <c r="U314" s="24" t="s">
        <v>340</v>
      </c>
      <c r="V314" s="22">
        <v>45803</v>
      </c>
      <c r="W314" s="40">
        <v>39</v>
      </c>
    </row>
    <row r="315" ht="22.5" customHeight="1" spans="2:23">
      <c r="B315" s="15">
        <v>1</v>
      </c>
      <c r="C315" s="36" t="s">
        <v>828</v>
      </c>
      <c r="D315" s="37" t="s">
        <v>1317</v>
      </c>
      <c r="E315" s="36" t="s">
        <v>1318</v>
      </c>
      <c r="F315" s="38">
        <v>511.043784990663</v>
      </c>
      <c r="G315" s="39" t="s">
        <v>1260</v>
      </c>
      <c r="H315" s="36" t="s">
        <v>1305</v>
      </c>
      <c r="I315" s="28">
        <v>0</v>
      </c>
      <c r="J315" s="29">
        <f t="shared" si="0"/>
        <v>751.043784990663</v>
      </c>
      <c r="K315" s="30" t="s">
        <v>544</v>
      </c>
      <c r="L315" s="30">
        <v>0</v>
      </c>
      <c r="M315" s="30">
        <v>751.043784990663</v>
      </c>
      <c r="N315" s="31">
        <f t="shared" si="1"/>
        <v>745.076184990663</v>
      </c>
      <c r="O315" s="30" t="s">
        <v>544</v>
      </c>
      <c r="P315" s="30">
        <v>0</v>
      </c>
      <c r="Q315" s="30">
        <v>745.076184990663</v>
      </c>
      <c r="R315" s="30">
        <f t="shared" si="2"/>
        <v>-5.96759999999995</v>
      </c>
      <c r="S315" s="32">
        <f t="shared" si="3"/>
        <v>1.45794980170687</v>
      </c>
      <c r="T315" s="24" t="s">
        <v>1306</v>
      </c>
      <c r="U315" s="24" t="s">
        <v>340</v>
      </c>
      <c r="V315" s="22">
        <v>45803</v>
      </c>
      <c r="W315" s="40">
        <v>39</v>
      </c>
    </row>
    <row r="316" ht="22.5" customHeight="1" spans="2:23">
      <c r="B316" s="15">
        <v>1</v>
      </c>
      <c r="C316" s="36" t="s">
        <v>828</v>
      </c>
      <c r="D316" s="37" t="s">
        <v>1320</v>
      </c>
      <c r="E316" s="36" t="s">
        <v>1321</v>
      </c>
      <c r="F316" s="38">
        <v>27.297</v>
      </c>
      <c r="G316" s="39" t="s">
        <v>1260</v>
      </c>
      <c r="H316" s="36" t="s">
        <v>1305</v>
      </c>
      <c r="I316" s="28">
        <v>0</v>
      </c>
      <c r="J316" s="29">
        <f t="shared" si="0"/>
        <v>27.297</v>
      </c>
      <c r="K316" s="30" t="s">
        <v>544</v>
      </c>
      <c r="L316" s="30">
        <v>0</v>
      </c>
      <c r="M316" s="30">
        <v>27.297</v>
      </c>
      <c r="N316" s="31">
        <f t="shared" si="1"/>
        <v>27.297</v>
      </c>
      <c r="O316" s="30" t="s">
        <v>544</v>
      </c>
      <c r="P316" s="30">
        <v>0</v>
      </c>
      <c r="Q316" s="30">
        <v>27.297</v>
      </c>
      <c r="R316" s="30">
        <f t="shared" si="2"/>
        <v>0</v>
      </c>
      <c r="S316" s="32">
        <f t="shared" si="3"/>
        <v>1</v>
      </c>
      <c r="T316" s="24" t="s">
        <v>1306</v>
      </c>
      <c r="U316" s="24" t="s">
        <v>340</v>
      </c>
      <c r="V316" s="22">
        <v>45803</v>
      </c>
      <c r="W316" s="40">
        <v>39</v>
      </c>
    </row>
    <row r="317" ht="22.5" customHeight="1" spans="2:23">
      <c r="B317" s="15">
        <v>1</v>
      </c>
      <c r="C317" s="36" t="s">
        <v>828</v>
      </c>
      <c r="D317" s="37" t="s">
        <v>1307</v>
      </c>
      <c r="E317" s="36" t="s">
        <v>1308</v>
      </c>
      <c r="F317" s="38">
        <v>706.640713342395</v>
      </c>
      <c r="G317" s="39" t="s">
        <v>1260</v>
      </c>
      <c r="H317" s="36" t="s">
        <v>1305</v>
      </c>
      <c r="I317" s="28">
        <v>0</v>
      </c>
      <c r="J317" s="29">
        <f t="shared" si="0"/>
        <v>982.640713342395</v>
      </c>
      <c r="K317" s="30" t="s">
        <v>544</v>
      </c>
      <c r="L317" s="30">
        <v>0</v>
      </c>
      <c r="M317" s="30">
        <v>982.640713342395</v>
      </c>
      <c r="N317" s="31">
        <f t="shared" si="1"/>
        <v>973.280713342395</v>
      </c>
      <c r="O317" s="30" t="s">
        <v>544</v>
      </c>
      <c r="P317" s="30">
        <v>0</v>
      </c>
      <c r="Q317" s="30">
        <v>973.280713342395</v>
      </c>
      <c r="R317" s="30">
        <f t="shared" si="2"/>
        <v>-9.36000000000001</v>
      </c>
      <c r="S317" s="32">
        <f t="shared" si="3"/>
        <v>1.37733461285976</v>
      </c>
      <c r="T317" s="24" t="s">
        <v>1306</v>
      </c>
      <c r="U317" s="24" t="s">
        <v>340</v>
      </c>
      <c r="V317" s="22">
        <v>45803</v>
      </c>
      <c r="W317" s="40">
        <v>6</v>
      </c>
    </row>
    <row r="318" ht="22.5" customHeight="1" spans="2:23">
      <c r="B318" s="15">
        <v>1</v>
      </c>
      <c r="C318" s="36" t="s">
        <v>828</v>
      </c>
      <c r="D318" s="37" t="s">
        <v>1303</v>
      </c>
      <c r="E318" s="36" t="s">
        <v>1304</v>
      </c>
      <c r="F318" s="38">
        <v>774.140812069943</v>
      </c>
      <c r="G318" s="39" t="s">
        <v>1260</v>
      </c>
      <c r="H318" s="36" t="s">
        <v>1305</v>
      </c>
      <c r="I318" s="28">
        <v>0</v>
      </c>
      <c r="J318" s="29">
        <f t="shared" si="0"/>
        <v>1050.14081206994</v>
      </c>
      <c r="K318" s="30" t="s">
        <v>544</v>
      </c>
      <c r="L318" s="30">
        <v>0</v>
      </c>
      <c r="M318" s="30">
        <v>1050.14081206994</v>
      </c>
      <c r="N318" s="31">
        <f t="shared" si="1"/>
        <v>1040.78081206994</v>
      </c>
      <c r="O318" s="30" t="s">
        <v>544</v>
      </c>
      <c r="P318" s="30">
        <v>0</v>
      </c>
      <c r="Q318" s="30">
        <v>1040.78081206994</v>
      </c>
      <c r="R318" s="30">
        <f t="shared" si="2"/>
        <v>-9.35999999999717</v>
      </c>
      <c r="S318" s="32">
        <f t="shared" si="3"/>
        <v>1.34443346203004</v>
      </c>
      <c r="T318" s="24" t="s">
        <v>1306</v>
      </c>
      <c r="U318" s="24" t="s">
        <v>340</v>
      </c>
      <c r="V318" s="22">
        <v>45803</v>
      </c>
      <c r="W318" s="40">
        <v>6</v>
      </c>
    </row>
    <row r="319" ht="22.5" customHeight="1" spans="2:23">
      <c r="B319" s="15">
        <v>1</v>
      </c>
      <c r="C319" s="36" t="s">
        <v>828</v>
      </c>
      <c r="D319" s="37" t="s">
        <v>1309</v>
      </c>
      <c r="E319" s="36" t="s">
        <v>1310</v>
      </c>
      <c r="F319" s="38">
        <v>672.515696276871</v>
      </c>
      <c r="G319" s="39" t="s">
        <v>1260</v>
      </c>
      <c r="H319" s="36" t="s">
        <v>1305</v>
      </c>
      <c r="I319" s="28">
        <v>0</v>
      </c>
      <c r="J319" s="29">
        <f t="shared" si="0"/>
        <v>912.515696276871</v>
      </c>
      <c r="K319" s="30" t="s">
        <v>544</v>
      </c>
      <c r="L319" s="30">
        <v>0</v>
      </c>
      <c r="M319" s="30">
        <v>912.515696276871</v>
      </c>
      <c r="N319" s="31">
        <f t="shared" si="1"/>
        <v>906.548096276871</v>
      </c>
      <c r="O319" s="30" t="s">
        <v>544</v>
      </c>
      <c r="P319" s="30">
        <v>0</v>
      </c>
      <c r="Q319" s="30">
        <v>906.548096276871</v>
      </c>
      <c r="R319" s="30">
        <f t="shared" si="2"/>
        <v>-5.96759999999995</v>
      </c>
      <c r="S319" s="32">
        <f t="shared" si="3"/>
        <v>1.34799544649386</v>
      </c>
      <c r="T319" s="24" t="s">
        <v>1306</v>
      </c>
      <c r="U319" s="24" t="s">
        <v>340</v>
      </c>
      <c r="V319" s="22">
        <v>45803</v>
      </c>
      <c r="W319" s="40">
        <v>6</v>
      </c>
    </row>
    <row r="320" ht="22.5" customHeight="1" spans="2:23">
      <c r="B320" s="15">
        <v>1</v>
      </c>
      <c r="C320" s="36" t="s">
        <v>828</v>
      </c>
      <c r="D320" s="37" t="s">
        <v>1311</v>
      </c>
      <c r="E320" s="36" t="s">
        <v>1312</v>
      </c>
      <c r="F320" s="38">
        <v>268.66795</v>
      </c>
      <c r="G320" s="39" t="s">
        <v>1260</v>
      </c>
      <c r="H320" s="36" t="s">
        <v>1305</v>
      </c>
      <c r="I320" s="28">
        <v>0</v>
      </c>
      <c r="J320" s="29">
        <f t="shared" si="0"/>
        <v>535.66795</v>
      </c>
      <c r="K320" s="30" t="s">
        <v>544</v>
      </c>
      <c r="L320" s="30">
        <v>0</v>
      </c>
      <c r="M320" s="30">
        <v>535.66795</v>
      </c>
      <c r="N320" s="31">
        <f t="shared" si="1"/>
        <v>528.70395</v>
      </c>
      <c r="O320" s="30" t="s">
        <v>544</v>
      </c>
      <c r="P320" s="30">
        <v>0</v>
      </c>
      <c r="Q320" s="30">
        <v>528.70395</v>
      </c>
      <c r="R320" s="30">
        <f t="shared" si="2"/>
        <v>-6.96399999999994</v>
      </c>
      <c r="S320" s="32">
        <f t="shared" si="3"/>
        <v>1.96787130731448</v>
      </c>
      <c r="T320" s="24" t="s">
        <v>1306</v>
      </c>
      <c r="U320" s="24" t="s">
        <v>340</v>
      </c>
      <c r="V320" s="22">
        <v>45803</v>
      </c>
      <c r="W320" s="40">
        <v>6</v>
      </c>
    </row>
    <row r="321" ht="22.5" customHeight="1" spans="2:23">
      <c r="B321" s="15">
        <v>1</v>
      </c>
      <c r="C321" s="36" t="s">
        <v>828</v>
      </c>
      <c r="D321" s="37" t="s">
        <v>1319</v>
      </c>
      <c r="E321" s="36" t="s">
        <v>1312</v>
      </c>
      <c r="F321" s="38">
        <v>274.817688562091</v>
      </c>
      <c r="G321" s="39" t="s">
        <v>1260</v>
      </c>
      <c r="H321" s="36" t="s">
        <v>1305</v>
      </c>
      <c r="I321" s="28">
        <v>0</v>
      </c>
      <c r="J321" s="29">
        <f t="shared" si="0"/>
        <v>541.817688562091</v>
      </c>
      <c r="K321" s="30" t="s">
        <v>544</v>
      </c>
      <c r="L321" s="30">
        <v>0</v>
      </c>
      <c r="M321" s="30">
        <v>541.817688562091</v>
      </c>
      <c r="N321" s="31">
        <f t="shared" si="1"/>
        <v>534.853688562091</v>
      </c>
      <c r="O321" s="30" t="s">
        <v>544</v>
      </c>
      <c r="P321" s="30">
        <v>0</v>
      </c>
      <c r="Q321" s="30">
        <v>534.853688562091</v>
      </c>
      <c r="R321" s="30">
        <f t="shared" si="2"/>
        <v>-6.96399999999994</v>
      </c>
      <c r="S321" s="32">
        <f t="shared" si="3"/>
        <v>1.94621274693259</v>
      </c>
      <c r="T321" s="24" t="s">
        <v>1306</v>
      </c>
      <c r="U321" s="24" t="s">
        <v>340</v>
      </c>
      <c r="V321" s="22">
        <v>45803</v>
      </c>
      <c r="W321" s="40">
        <v>39</v>
      </c>
    </row>
    <row r="322" ht="22.5" customHeight="1" spans="2:23">
      <c r="B322" s="15">
        <v>1</v>
      </c>
      <c r="C322" s="36" t="s">
        <v>828</v>
      </c>
      <c r="D322" s="37" t="s">
        <v>1314</v>
      </c>
      <c r="E322" s="36" t="s">
        <v>1308</v>
      </c>
      <c r="F322" s="38">
        <v>1661.70348323996</v>
      </c>
      <c r="G322" s="39" t="s">
        <v>1260</v>
      </c>
      <c r="H322" s="36" t="s">
        <v>1305</v>
      </c>
      <c r="I322" s="28">
        <v>0</v>
      </c>
      <c r="J322" s="29">
        <f t="shared" si="0"/>
        <v>1937.70348323996</v>
      </c>
      <c r="K322" s="30" t="s">
        <v>544</v>
      </c>
      <c r="L322" s="30">
        <v>0</v>
      </c>
      <c r="M322" s="30">
        <v>1937.70348323996</v>
      </c>
      <c r="N322" s="31">
        <f t="shared" si="1"/>
        <v>1928.34348323996</v>
      </c>
      <c r="O322" s="30" t="s">
        <v>544</v>
      </c>
      <c r="P322" s="30">
        <v>0</v>
      </c>
      <c r="Q322" s="30">
        <v>1928.34348323996</v>
      </c>
      <c r="R322" s="30">
        <f t="shared" si="2"/>
        <v>-9.36000000000013</v>
      </c>
      <c r="S322" s="32">
        <f t="shared" si="3"/>
        <v>1.16046184092971</v>
      </c>
      <c r="T322" s="24" t="s">
        <v>1306</v>
      </c>
      <c r="U322" s="24" t="s">
        <v>340</v>
      </c>
      <c r="V322" s="22">
        <v>45803</v>
      </c>
      <c r="W322" s="40">
        <v>39</v>
      </c>
    </row>
    <row r="323" ht="22.5" customHeight="1" spans="2:23">
      <c r="B323" s="15">
        <v>1</v>
      </c>
      <c r="C323" s="36" t="s">
        <v>828</v>
      </c>
      <c r="D323" s="37" t="s">
        <v>1315</v>
      </c>
      <c r="E323" s="36" t="s">
        <v>1316</v>
      </c>
      <c r="F323" s="38">
        <v>304.872094981326</v>
      </c>
      <c r="G323" s="39" t="s">
        <v>1260</v>
      </c>
      <c r="H323" s="36" t="s">
        <v>1305</v>
      </c>
      <c r="I323" s="28">
        <v>0</v>
      </c>
      <c r="J323" s="29">
        <f t="shared" si="0"/>
        <v>464.872094981326</v>
      </c>
      <c r="K323" s="30" t="s">
        <v>544</v>
      </c>
      <c r="L323" s="30">
        <v>0</v>
      </c>
      <c r="M323" s="30">
        <v>464.872094981326</v>
      </c>
      <c r="N323" s="31">
        <f t="shared" si="1"/>
        <v>460.893694981326</v>
      </c>
      <c r="O323" s="30" t="s">
        <v>544</v>
      </c>
      <c r="P323" s="30">
        <v>0</v>
      </c>
      <c r="Q323" s="30">
        <v>460.893694981326</v>
      </c>
      <c r="R323" s="30">
        <f t="shared" si="2"/>
        <v>-3.97839999999996</v>
      </c>
      <c r="S323" s="32">
        <f t="shared" si="3"/>
        <v>1.51176084190177</v>
      </c>
      <c r="T323" s="24" t="s">
        <v>1306</v>
      </c>
      <c r="U323" s="24" t="s">
        <v>340</v>
      </c>
      <c r="V323" s="22">
        <v>45803</v>
      </c>
      <c r="W323" s="40">
        <v>39</v>
      </c>
    </row>
    <row r="324" ht="22.5" customHeight="1" spans="2:23">
      <c r="B324" s="15">
        <v>1</v>
      </c>
      <c r="C324" s="36" t="s">
        <v>828</v>
      </c>
      <c r="D324" s="37" t="s">
        <v>1313</v>
      </c>
      <c r="E324" s="36" t="s">
        <v>1304</v>
      </c>
      <c r="F324" s="38">
        <v>1982.26594822596</v>
      </c>
      <c r="G324" s="39" t="s">
        <v>1260</v>
      </c>
      <c r="H324" s="36" t="s">
        <v>1305</v>
      </c>
      <c r="I324" s="28">
        <v>0</v>
      </c>
      <c r="J324" s="29">
        <f t="shared" si="0"/>
        <v>2258.26594822596</v>
      </c>
      <c r="K324" s="30" t="s">
        <v>544</v>
      </c>
      <c r="L324" s="30">
        <v>0</v>
      </c>
      <c r="M324" s="30">
        <v>2258.26594822596</v>
      </c>
      <c r="N324" s="31">
        <f t="shared" si="1"/>
        <v>2248.90594822596</v>
      </c>
      <c r="O324" s="30" t="s">
        <v>544</v>
      </c>
      <c r="P324" s="30">
        <v>0</v>
      </c>
      <c r="Q324" s="30">
        <v>2248.90594822596</v>
      </c>
      <c r="R324" s="30">
        <f t="shared" si="2"/>
        <v>-9.36000000000013</v>
      </c>
      <c r="S324" s="32">
        <f t="shared" si="3"/>
        <v>1.13451272783989</v>
      </c>
      <c r="T324" s="24" t="s">
        <v>1306</v>
      </c>
      <c r="U324" s="24" t="s">
        <v>340</v>
      </c>
      <c r="V324" s="22">
        <v>45803</v>
      </c>
      <c r="W324" s="40">
        <v>1</v>
      </c>
    </row>
    <row r="325" ht="22.5" customHeight="1" spans="2:23">
      <c r="B325" s="15">
        <v>1</v>
      </c>
      <c r="C325" s="36" t="s">
        <v>828</v>
      </c>
      <c r="D325" s="37" t="s">
        <v>1313</v>
      </c>
      <c r="E325" s="36" t="s">
        <v>1304</v>
      </c>
      <c r="F325" s="38">
        <v>1982.26594822596</v>
      </c>
      <c r="G325" s="39" t="s">
        <v>1260</v>
      </c>
      <c r="H325" s="36" t="s">
        <v>1305</v>
      </c>
      <c r="I325" s="28">
        <v>0</v>
      </c>
      <c r="J325" s="29">
        <f t="shared" si="0"/>
        <v>2258.26594822596</v>
      </c>
      <c r="K325" s="30" t="s">
        <v>544</v>
      </c>
      <c r="L325" s="30">
        <v>0</v>
      </c>
      <c r="M325" s="30">
        <v>2258.26594822596</v>
      </c>
      <c r="N325" s="31">
        <f t="shared" si="1"/>
        <v>2248.90594822596</v>
      </c>
      <c r="O325" s="30" t="s">
        <v>544</v>
      </c>
      <c r="P325" s="30">
        <v>0</v>
      </c>
      <c r="Q325" s="30">
        <v>2248.90594822596</v>
      </c>
      <c r="R325" s="30">
        <f t="shared" si="2"/>
        <v>-9.36000000000013</v>
      </c>
      <c r="S325" s="32">
        <f t="shared" si="3"/>
        <v>1.13451272783989</v>
      </c>
      <c r="T325" s="24" t="s">
        <v>1306</v>
      </c>
      <c r="U325" s="24" t="s">
        <v>340</v>
      </c>
      <c r="V325" s="22">
        <v>45803</v>
      </c>
      <c r="W325" s="40">
        <v>3</v>
      </c>
    </row>
    <row r="326" ht="22.5" customHeight="1" spans="2:23">
      <c r="B326" s="15">
        <v>1</v>
      </c>
      <c r="C326" s="36" t="s">
        <v>828</v>
      </c>
      <c r="D326" s="37" t="s">
        <v>1315</v>
      </c>
      <c r="E326" s="36" t="s">
        <v>1316</v>
      </c>
      <c r="F326" s="38">
        <v>304.872094981326</v>
      </c>
      <c r="G326" s="39" t="s">
        <v>1260</v>
      </c>
      <c r="H326" s="36" t="s">
        <v>1305</v>
      </c>
      <c r="I326" s="28">
        <v>0</v>
      </c>
      <c r="J326" s="29">
        <f t="shared" si="0"/>
        <v>464.872094981326</v>
      </c>
      <c r="K326" s="30" t="s">
        <v>544</v>
      </c>
      <c r="L326" s="30">
        <v>0</v>
      </c>
      <c r="M326" s="30">
        <v>464.872094981326</v>
      </c>
      <c r="N326" s="31">
        <f t="shared" si="1"/>
        <v>460.893694981326</v>
      </c>
      <c r="O326" s="30" t="s">
        <v>544</v>
      </c>
      <c r="P326" s="30">
        <v>0</v>
      </c>
      <c r="Q326" s="30">
        <v>460.893694981326</v>
      </c>
      <c r="R326" s="30">
        <f t="shared" si="2"/>
        <v>-3.97839999999996</v>
      </c>
      <c r="S326" s="32">
        <f t="shared" si="3"/>
        <v>1.51176084190177</v>
      </c>
      <c r="T326" s="24" t="s">
        <v>1306</v>
      </c>
      <c r="U326" s="24" t="s">
        <v>340</v>
      </c>
      <c r="V326" s="22">
        <v>45803</v>
      </c>
      <c r="W326" s="40">
        <v>2</v>
      </c>
    </row>
    <row r="327" ht="22.5" customHeight="1" spans="2:23">
      <c r="B327" s="15">
        <v>1</v>
      </c>
      <c r="C327" s="36" t="s">
        <v>828</v>
      </c>
      <c r="D327" s="37" t="s">
        <v>1303</v>
      </c>
      <c r="E327" s="36" t="s">
        <v>1304</v>
      </c>
      <c r="F327" s="38">
        <v>774.140812069943</v>
      </c>
      <c r="G327" s="39" t="s">
        <v>1260</v>
      </c>
      <c r="H327" s="36" t="s">
        <v>1305</v>
      </c>
      <c r="I327" s="28">
        <v>0</v>
      </c>
      <c r="J327" s="29">
        <f t="shared" si="0"/>
        <v>1050.14081206994</v>
      </c>
      <c r="K327" s="30" t="s">
        <v>544</v>
      </c>
      <c r="L327" s="30">
        <v>0</v>
      </c>
      <c r="M327" s="30">
        <v>1050.14081206994</v>
      </c>
      <c r="N327" s="31">
        <f t="shared" si="1"/>
        <v>1040.78081206994</v>
      </c>
      <c r="O327" s="30" t="s">
        <v>544</v>
      </c>
      <c r="P327" s="30">
        <v>0</v>
      </c>
      <c r="Q327" s="30">
        <v>1040.78081206994</v>
      </c>
      <c r="R327" s="30">
        <f t="shared" si="2"/>
        <v>-9.35999999999717</v>
      </c>
      <c r="S327" s="32">
        <f t="shared" si="3"/>
        <v>1.34443346203004</v>
      </c>
      <c r="T327" s="24" t="s">
        <v>1306</v>
      </c>
      <c r="U327" s="24" t="s">
        <v>340</v>
      </c>
      <c r="V327" s="22">
        <v>45803</v>
      </c>
      <c r="W327" s="40">
        <v>3</v>
      </c>
    </row>
    <row r="328" ht="22.5" customHeight="1" spans="2:23">
      <c r="B328" s="15">
        <v>1</v>
      </c>
      <c r="C328" s="36" t="s">
        <v>828</v>
      </c>
      <c r="D328" s="37" t="s">
        <v>1317</v>
      </c>
      <c r="E328" s="36" t="s">
        <v>1318</v>
      </c>
      <c r="F328" s="38">
        <v>511.043784990663</v>
      </c>
      <c r="G328" s="39" t="s">
        <v>1260</v>
      </c>
      <c r="H328" s="36" t="s">
        <v>1305</v>
      </c>
      <c r="I328" s="28">
        <v>0</v>
      </c>
      <c r="J328" s="29">
        <f t="shared" si="0"/>
        <v>751.043784990663</v>
      </c>
      <c r="K328" s="30" t="s">
        <v>544</v>
      </c>
      <c r="L328" s="30">
        <v>0</v>
      </c>
      <c r="M328" s="30">
        <v>751.043784990663</v>
      </c>
      <c r="N328" s="31">
        <f t="shared" si="1"/>
        <v>745.076184990663</v>
      </c>
      <c r="O328" s="30" t="s">
        <v>544</v>
      </c>
      <c r="P328" s="30">
        <v>0</v>
      </c>
      <c r="Q328" s="30">
        <v>745.076184990663</v>
      </c>
      <c r="R328" s="30">
        <f t="shared" si="2"/>
        <v>-5.96759999999995</v>
      </c>
      <c r="S328" s="32">
        <f t="shared" si="3"/>
        <v>1.45794980170687</v>
      </c>
      <c r="T328" s="24" t="s">
        <v>1306</v>
      </c>
      <c r="U328" s="24" t="s">
        <v>340</v>
      </c>
      <c r="V328" s="22">
        <v>45803</v>
      </c>
      <c r="W328" s="40">
        <v>2</v>
      </c>
    </row>
    <row r="329" ht="22.5" customHeight="1" spans="2:23">
      <c r="B329" s="15">
        <v>1</v>
      </c>
      <c r="C329" s="36" t="s">
        <v>828</v>
      </c>
      <c r="D329" s="37" t="s">
        <v>1309</v>
      </c>
      <c r="E329" s="36" t="s">
        <v>1310</v>
      </c>
      <c r="F329" s="38">
        <v>672.515696276871</v>
      </c>
      <c r="G329" s="39" t="s">
        <v>1260</v>
      </c>
      <c r="H329" s="36" t="s">
        <v>1305</v>
      </c>
      <c r="I329" s="28">
        <v>0</v>
      </c>
      <c r="J329" s="29">
        <f t="shared" si="0"/>
        <v>912.515696276871</v>
      </c>
      <c r="K329" s="30" t="s">
        <v>544</v>
      </c>
      <c r="L329" s="30">
        <v>0</v>
      </c>
      <c r="M329" s="30">
        <v>912.515696276871</v>
      </c>
      <c r="N329" s="31">
        <f t="shared" si="1"/>
        <v>906.548096276871</v>
      </c>
      <c r="O329" s="30" t="s">
        <v>544</v>
      </c>
      <c r="P329" s="30">
        <v>0</v>
      </c>
      <c r="Q329" s="30">
        <v>906.548096276871</v>
      </c>
      <c r="R329" s="30">
        <f t="shared" si="2"/>
        <v>-5.96759999999995</v>
      </c>
      <c r="S329" s="32">
        <f t="shared" si="3"/>
        <v>1.34799544649386</v>
      </c>
      <c r="T329" s="24" t="s">
        <v>1306</v>
      </c>
      <c r="U329" s="24" t="s">
        <v>340</v>
      </c>
      <c r="V329" s="22">
        <v>45803</v>
      </c>
      <c r="W329" s="40">
        <v>3</v>
      </c>
    </row>
    <row r="330" ht="22.5" customHeight="1" spans="2:23">
      <c r="B330" s="15">
        <v>1</v>
      </c>
      <c r="C330" s="36" t="s">
        <v>828</v>
      </c>
      <c r="D330" s="37" t="s">
        <v>1311</v>
      </c>
      <c r="E330" s="36" t="s">
        <v>1312</v>
      </c>
      <c r="F330" s="38">
        <v>268.66795</v>
      </c>
      <c r="G330" s="39" t="s">
        <v>1260</v>
      </c>
      <c r="H330" s="36" t="s">
        <v>1305</v>
      </c>
      <c r="I330" s="28">
        <v>0</v>
      </c>
      <c r="J330" s="29">
        <f t="shared" si="0"/>
        <v>535.66795</v>
      </c>
      <c r="K330" s="30" t="s">
        <v>544</v>
      </c>
      <c r="L330" s="30">
        <v>0</v>
      </c>
      <c r="M330" s="30">
        <v>535.66795</v>
      </c>
      <c r="N330" s="31">
        <f t="shared" si="1"/>
        <v>528.70395</v>
      </c>
      <c r="O330" s="30" t="s">
        <v>544</v>
      </c>
      <c r="P330" s="30">
        <v>0</v>
      </c>
      <c r="Q330" s="30">
        <v>528.70395</v>
      </c>
      <c r="R330" s="30">
        <f t="shared" si="2"/>
        <v>-6.96399999999994</v>
      </c>
      <c r="S330" s="32">
        <f t="shared" si="3"/>
        <v>1.96787130731448</v>
      </c>
      <c r="T330" s="24" t="s">
        <v>1306</v>
      </c>
      <c r="U330" s="24" t="s">
        <v>340</v>
      </c>
      <c r="V330" s="22">
        <v>45803</v>
      </c>
      <c r="W330" s="40">
        <v>3</v>
      </c>
    </row>
    <row r="331" ht="22.5" customHeight="1" spans="2:23">
      <c r="B331" s="15">
        <v>1</v>
      </c>
      <c r="C331" s="36" t="s">
        <v>828</v>
      </c>
      <c r="D331" s="37" t="s">
        <v>1307</v>
      </c>
      <c r="E331" s="36" t="s">
        <v>1308</v>
      </c>
      <c r="F331" s="38">
        <v>706.640713342395</v>
      </c>
      <c r="G331" s="39" t="s">
        <v>1260</v>
      </c>
      <c r="H331" s="36" t="s">
        <v>1305</v>
      </c>
      <c r="I331" s="28">
        <v>0</v>
      </c>
      <c r="J331" s="29">
        <f t="shared" si="0"/>
        <v>982.640713342395</v>
      </c>
      <c r="K331" s="30" t="s">
        <v>544</v>
      </c>
      <c r="L331" s="30">
        <v>0</v>
      </c>
      <c r="M331" s="30">
        <v>982.640713342395</v>
      </c>
      <c r="N331" s="31">
        <f t="shared" si="1"/>
        <v>973.280713342395</v>
      </c>
      <c r="O331" s="30" t="s">
        <v>544</v>
      </c>
      <c r="P331" s="30">
        <v>0</v>
      </c>
      <c r="Q331" s="30">
        <v>973.280713342395</v>
      </c>
      <c r="R331" s="30">
        <f t="shared" si="2"/>
        <v>-9.36000000000001</v>
      </c>
      <c r="S331" s="32">
        <f t="shared" si="3"/>
        <v>1.37733461285976</v>
      </c>
      <c r="T331" s="24" t="s">
        <v>1306</v>
      </c>
      <c r="U331" s="24" t="s">
        <v>340</v>
      </c>
      <c r="V331" s="22">
        <v>45803</v>
      </c>
      <c r="W331" s="40">
        <v>4</v>
      </c>
    </row>
    <row r="332" ht="22.5" customHeight="1" spans="2:23">
      <c r="B332" s="15">
        <v>1</v>
      </c>
      <c r="C332" s="36" t="s">
        <v>828</v>
      </c>
      <c r="D332" s="37" t="s">
        <v>1314</v>
      </c>
      <c r="E332" s="36" t="s">
        <v>1308</v>
      </c>
      <c r="F332" s="38">
        <v>1661.70348323996</v>
      </c>
      <c r="G332" s="39" t="s">
        <v>1260</v>
      </c>
      <c r="H332" s="36" t="s">
        <v>1305</v>
      </c>
      <c r="I332" s="28">
        <v>0</v>
      </c>
      <c r="J332" s="29">
        <f t="shared" si="0"/>
        <v>1937.70348323996</v>
      </c>
      <c r="K332" s="30" t="s">
        <v>544</v>
      </c>
      <c r="L332" s="30">
        <v>0</v>
      </c>
      <c r="M332" s="30">
        <v>1937.70348323996</v>
      </c>
      <c r="N332" s="31">
        <f t="shared" si="1"/>
        <v>1928.34348323996</v>
      </c>
      <c r="O332" s="30" t="s">
        <v>544</v>
      </c>
      <c r="P332" s="30">
        <v>0</v>
      </c>
      <c r="Q332" s="30">
        <v>1928.34348323996</v>
      </c>
      <c r="R332" s="30">
        <f t="shared" si="2"/>
        <v>-9.36000000000013</v>
      </c>
      <c r="S332" s="32">
        <f t="shared" si="3"/>
        <v>1.16046184092971</v>
      </c>
      <c r="T332" s="24" t="s">
        <v>1306</v>
      </c>
      <c r="U332" s="24" t="s">
        <v>340</v>
      </c>
      <c r="V332" s="22">
        <v>45803</v>
      </c>
      <c r="W332" s="40">
        <v>4</v>
      </c>
    </row>
    <row r="333" ht="22.5" customHeight="1" spans="2:23">
      <c r="B333" s="15">
        <v>1</v>
      </c>
      <c r="C333" s="24" t="s">
        <v>1268</v>
      </c>
      <c r="D333" s="24" t="s">
        <v>174</v>
      </c>
      <c r="E333" s="24" t="s">
        <v>1322</v>
      </c>
      <c r="F333" s="26">
        <v>35.0655344981517</v>
      </c>
      <c r="G333" s="39" t="s">
        <v>1260</v>
      </c>
      <c r="H333" s="25" t="s">
        <v>1323</v>
      </c>
      <c r="I333" s="28">
        <v>0</v>
      </c>
      <c r="J333" s="29">
        <f t="shared" si="0"/>
        <v>30000</v>
      </c>
      <c r="K333" s="30">
        <v>0</v>
      </c>
      <c r="L333" s="30">
        <v>0</v>
      </c>
      <c r="M333" s="30">
        <v>30000</v>
      </c>
      <c r="N333" s="31">
        <f t="shared" si="1"/>
        <v>5060</v>
      </c>
      <c r="O333" s="30">
        <v>0</v>
      </c>
      <c r="P333" s="30">
        <v>0</v>
      </c>
      <c r="Q333" s="30">
        <v>5060</v>
      </c>
      <c r="R333" s="30">
        <f>J333-N333</f>
        <v>24940</v>
      </c>
      <c r="S333" s="32">
        <f t="shared" si="3"/>
        <v>144.301236881665</v>
      </c>
      <c r="T333" s="24" t="s">
        <v>1324</v>
      </c>
      <c r="U333" s="24" t="s">
        <v>152</v>
      </c>
      <c r="V333" s="22">
        <v>45825</v>
      </c>
      <c r="W333" s="40">
        <v>1</v>
      </c>
    </row>
    <row r="334" ht="22.5" customHeight="1" spans="2:23">
      <c r="B334" s="15">
        <v>1</v>
      </c>
      <c r="C334" s="24" t="s">
        <v>571</v>
      </c>
      <c r="D334" s="25" t="s">
        <v>1325</v>
      </c>
      <c r="E334" s="24" t="s">
        <v>396</v>
      </c>
      <c r="F334" s="26">
        <v>409.053291244831</v>
      </c>
      <c r="G334" s="27" t="s">
        <v>1260</v>
      </c>
      <c r="H334" s="25" t="s">
        <v>1288</v>
      </c>
      <c r="I334" s="28">
        <v>28</v>
      </c>
      <c r="J334" s="29">
        <v>6048.14285714286</v>
      </c>
      <c r="K334" s="30">
        <v>124940</v>
      </c>
      <c r="L334" s="30">
        <v>4462.14285714286</v>
      </c>
      <c r="M334" s="30">
        <v>1586</v>
      </c>
      <c r="N334" s="31">
        <v>5408.72952973214</v>
      </c>
      <c r="O334" s="30">
        <v>114261.8268325</v>
      </c>
      <c r="P334" s="30">
        <v>4080.77952973214</v>
      </c>
      <c r="Q334" s="30">
        <v>1327.95</v>
      </c>
      <c r="R334" s="30">
        <v>-639.413327410714</v>
      </c>
      <c r="S334" s="32">
        <v>13.2225547269704</v>
      </c>
      <c r="T334" s="24" t="s">
        <v>1326</v>
      </c>
      <c r="U334" s="24" t="s">
        <v>272</v>
      </c>
      <c r="V334" s="22">
        <v>45855</v>
      </c>
      <c r="W334" s="23">
        <v>28</v>
      </c>
    </row>
    <row r="335" ht="16.5" customHeight="1" spans="2:23">
      <c r="B335" s="15">
        <v>1</v>
      </c>
      <c r="C335" s="24" t="s">
        <v>571</v>
      </c>
      <c r="D335" s="25" t="s">
        <v>1327</v>
      </c>
      <c r="E335" s="24" t="s">
        <v>1328</v>
      </c>
      <c r="F335" s="26">
        <v>34.4</v>
      </c>
      <c r="G335" s="27" t="s">
        <v>1260</v>
      </c>
      <c r="H335" s="25" t="s">
        <v>1288</v>
      </c>
      <c r="I335" s="28">
        <v>28</v>
      </c>
      <c r="J335" s="29">
        <v>1089.28571428571</v>
      </c>
      <c r="K335" s="30">
        <v>18600</v>
      </c>
      <c r="L335" s="30">
        <v>664.285714285714</v>
      </c>
      <c r="M335" s="30">
        <v>425</v>
      </c>
      <c r="N335" s="31">
        <v>932.4426156</v>
      </c>
      <c r="O335" s="30">
        <v>11841.4132368</v>
      </c>
      <c r="P335" s="30">
        <v>422.9076156</v>
      </c>
      <c r="Q335" s="30">
        <v>509.535</v>
      </c>
      <c r="R335" s="30">
        <v>-156.843098685714</v>
      </c>
      <c r="S335" s="32">
        <v>27.1058899883721</v>
      </c>
      <c r="T335" s="24" t="s">
        <v>1326</v>
      </c>
      <c r="U335" s="24" t="s">
        <v>272</v>
      </c>
      <c r="V335" s="22">
        <v>45855</v>
      </c>
      <c r="W335" s="23">
        <v>28</v>
      </c>
    </row>
    <row r="336" ht="16.5" customHeight="1" spans="2:23">
      <c r="B336" s="15">
        <v>1</v>
      </c>
      <c r="C336" s="24" t="s">
        <v>213</v>
      </c>
      <c r="D336" s="25" t="s">
        <v>1329</v>
      </c>
      <c r="E336" s="24" t="s">
        <v>396</v>
      </c>
      <c r="F336" s="26">
        <v>601.64</v>
      </c>
      <c r="G336" s="27" t="s">
        <v>1271</v>
      </c>
      <c r="H336" s="25" t="s">
        <v>1330</v>
      </c>
      <c r="I336" s="28">
        <v>25</v>
      </c>
      <c r="J336" s="29">
        <v>1309.0541895</v>
      </c>
      <c r="K336" s="30">
        <v>0</v>
      </c>
      <c r="L336" s="30">
        <v>0</v>
      </c>
      <c r="M336" s="30">
        <v>1309.0541895</v>
      </c>
      <c r="N336" s="31">
        <v>905.3105485</v>
      </c>
      <c r="O336" s="30">
        <v>0</v>
      </c>
      <c r="P336" s="30">
        <v>0</v>
      </c>
      <c r="Q336" s="30">
        <v>905.3105485</v>
      </c>
      <c r="R336" s="30">
        <v>-403.743641</v>
      </c>
      <c r="S336" s="32">
        <v>1.50473796373246</v>
      </c>
      <c r="T336" s="24" t="s">
        <v>1326</v>
      </c>
      <c r="U336" s="24" t="s">
        <v>272</v>
      </c>
      <c r="V336" s="22">
        <v>45911</v>
      </c>
      <c r="W336" s="23">
        <v>25</v>
      </c>
    </row>
    <row r="337" ht="16.5" customHeight="1" spans="2:23">
      <c r="B337" s="15">
        <v>1</v>
      </c>
      <c r="C337" s="24" t="s">
        <v>213</v>
      </c>
      <c r="D337" s="25" t="s">
        <v>1331</v>
      </c>
      <c r="E337" s="24" t="s">
        <v>1332</v>
      </c>
      <c r="F337" s="26">
        <v>38</v>
      </c>
      <c r="G337" s="27" t="s">
        <v>1271</v>
      </c>
      <c r="H337" s="25" t="s">
        <v>1330</v>
      </c>
      <c r="I337" s="28">
        <v>25</v>
      </c>
      <c r="J337" s="29">
        <v>80.33</v>
      </c>
      <c r="K337" s="30">
        <v>0</v>
      </c>
      <c r="L337" s="30">
        <v>0</v>
      </c>
      <c r="M337" s="30">
        <v>80.33</v>
      </c>
      <c r="N337" s="31">
        <v>61</v>
      </c>
      <c r="O337" s="30">
        <v>0</v>
      </c>
      <c r="P337" s="30">
        <v>0</v>
      </c>
      <c r="Q337" s="30">
        <v>61</v>
      </c>
      <c r="R337" s="30">
        <v>-19.33</v>
      </c>
      <c r="S337" s="32">
        <v>1.60526315789474</v>
      </c>
      <c r="T337" s="24" t="s">
        <v>1326</v>
      </c>
      <c r="U337" s="24" t="s">
        <v>272</v>
      </c>
      <c r="V337" s="22">
        <v>45911</v>
      </c>
      <c r="W337" s="23">
        <v>25</v>
      </c>
    </row>
    <row r="338" ht="16.5" customHeight="1" spans="2:23">
      <c r="B338" s="15">
        <v>1</v>
      </c>
      <c r="C338" s="24" t="s">
        <v>301</v>
      </c>
      <c r="D338" s="25" t="s">
        <v>1333</v>
      </c>
      <c r="E338" s="24" t="s">
        <v>1334</v>
      </c>
      <c r="F338" s="26">
        <v>17.7</v>
      </c>
      <c r="G338" s="27" t="s">
        <v>1260</v>
      </c>
      <c r="H338" s="24" t="s">
        <v>1335</v>
      </c>
      <c r="I338" s="28">
        <v>0</v>
      </c>
      <c r="J338" s="29">
        <v>76.0333333333333</v>
      </c>
      <c r="K338" s="30">
        <v>0</v>
      </c>
      <c r="L338" s="30">
        <v>0</v>
      </c>
      <c r="M338" s="30">
        <v>76.0333333333333</v>
      </c>
      <c r="N338" s="31">
        <v>70.6421361757668</v>
      </c>
      <c r="O338" s="30">
        <v>0</v>
      </c>
      <c r="P338" s="30">
        <v>0</v>
      </c>
      <c r="Q338" s="30">
        <v>70.6421361757668</v>
      </c>
      <c r="R338" s="30">
        <v>-5.39119715756654</v>
      </c>
      <c r="S338" s="32">
        <v>3.99108113987383</v>
      </c>
      <c r="T338" s="24" t="s">
        <v>1326</v>
      </c>
      <c r="U338" s="24" t="s">
        <v>272</v>
      </c>
      <c r="V338" s="22">
        <v>45944</v>
      </c>
      <c r="W338" s="23">
        <v>3</v>
      </c>
    </row>
    <row r="339" ht="16.5" customHeight="1" spans="2:23">
      <c r="B339" s="15">
        <v>1</v>
      </c>
      <c r="C339" s="24" t="s">
        <v>301</v>
      </c>
      <c r="D339" s="25" t="s">
        <v>1336</v>
      </c>
      <c r="E339" s="24" t="s">
        <v>1337</v>
      </c>
      <c r="F339" s="26">
        <v>6.2</v>
      </c>
      <c r="G339" s="27" t="s">
        <v>1260</v>
      </c>
      <c r="H339" s="24" t="s">
        <v>1335</v>
      </c>
      <c r="I339" s="28">
        <v>0</v>
      </c>
      <c r="J339" s="29">
        <v>26.5333333333333</v>
      </c>
      <c r="K339" s="30">
        <v>0</v>
      </c>
      <c r="L339" s="30">
        <v>0</v>
      </c>
      <c r="M339" s="30">
        <v>26.5333333333333</v>
      </c>
      <c r="N339" s="31">
        <v>24.7447030672177</v>
      </c>
      <c r="O339" s="30">
        <v>0</v>
      </c>
      <c r="P339" s="30">
        <v>0</v>
      </c>
      <c r="Q339" s="30">
        <v>24.7447030672177</v>
      </c>
      <c r="R339" s="30">
        <v>-1.78863026611558</v>
      </c>
      <c r="S339" s="32">
        <v>3.99108113987383</v>
      </c>
      <c r="T339" s="24" t="s">
        <v>1326</v>
      </c>
      <c r="U339" s="24" t="s">
        <v>272</v>
      </c>
      <c r="V339" s="22">
        <v>45944</v>
      </c>
      <c r="W339" s="23">
        <v>3</v>
      </c>
    </row>
    <row r="340" ht="16.5" customHeight="1" spans="2:23">
      <c r="B340" s="15">
        <v>1</v>
      </c>
      <c r="C340" s="24" t="s">
        <v>301</v>
      </c>
      <c r="D340" s="25" t="s">
        <v>1338</v>
      </c>
      <c r="E340" s="24" t="s">
        <v>1339</v>
      </c>
      <c r="F340" s="26">
        <v>6.2</v>
      </c>
      <c r="G340" s="27" t="s">
        <v>1260</v>
      </c>
      <c r="H340" s="24" t="s">
        <v>1335</v>
      </c>
      <c r="I340" s="28">
        <v>0</v>
      </c>
      <c r="J340" s="29">
        <v>26.5333333333333</v>
      </c>
      <c r="K340" s="30">
        <v>0</v>
      </c>
      <c r="L340" s="30">
        <v>0</v>
      </c>
      <c r="M340" s="30">
        <v>26.5333333333333</v>
      </c>
      <c r="N340" s="31">
        <v>24.7447030672177</v>
      </c>
      <c r="O340" s="30">
        <v>0</v>
      </c>
      <c r="P340" s="30">
        <v>0</v>
      </c>
      <c r="Q340" s="30">
        <v>24.7447030672177</v>
      </c>
      <c r="R340" s="30">
        <v>-1.78863026611558</v>
      </c>
      <c r="S340" s="32">
        <v>3.99108113987383</v>
      </c>
      <c r="T340" s="24" t="s">
        <v>1326</v>
      </c>
      <c r="U340" s="24" t="s">
        <v>272</v>
      </c>
      <c r="V340" s="22">
        <v>45944</v>
      </c>
      <c r="W340" s="23">
        <v>3</v>
      </c>
    </row>
    <row r="341" ht="16.5" customHeight="1" spans="2:23">
      <c r="B341" s="15">
        <v>1</v>
      </c>
      <c r="C341" s="24" t="s">
        <v>301</v>
      </c>
      <c r="D341" s="25" t="s">
        <v>1340</v>
      </c>
      <c r="E341" s="24" t="s">
        <v>396</v>
      </c>
      <c r="F341" s="26">
        <v>517.69</v>
      </c>
      <c r="G341" s="27" t="s">
        <v>1260</v>
      </c>
      <c r="H341" s="24" t="s">
        <v>1335</v>
      </c>
      <c r="I341" s="28">
        <v>0</v>
      </c>
      <c r="J341" s="29">
        <v>2222.69</v>
      </c>
      <c r="K341" s="30">
        <v>0</v>
      </c>
      <c r="L341" s="30">
        <v>0</v>
      </c>
      <c r="M341" s="30">
        <v>2222.69</v>
      </c>
      <c r="N341" s="31">
        <v>2066.14279530128</v>
      </c>
      <c r="O341" s="30">
        <v>0</v>
      </c>
      <c r="P341" s="30">
        <v>0</v>
      </c>
      <c r="Q341" s="30">
        <v>2066.14279530128</v>
      </c>
      <c r="R341" s="30">
        <v>-156.547204698717</v>
      </c>
      <c r="S341" s="32">
        <v>3.99108113987383</v>
      </c>
      <c r="T341" s="24" t="s">
        <v>1326</v>
      </c>
      <c r="U341" s="24" t="s">
        <v>272</v>
      </c>
      <c r="V341" s="22">
        <v>45944</v>
      </c>
      <c r="W341" s="23">
        <v>3</v>
      </c>
    </row>
    <row r="342" ht="16.5" customHeight="1" spans="2:23">
      <c r="B342" s="15">
        <v>1</v>
      </c>
      <c r="C342" s="24" t="s">
        <v>301</v>
      </c>
      <c r="D342" s="25" t="s">
        <v>1341</v>
      </c>
      <c r="E342" s="24" t="s">
        <v>1342</v>
      </c>
      <c r="F342" s="26">
        <v>3.85</v>
      </c>
      <c r="G342" s="27" t="s">
        <v>1260</v>
      </c>
      <c r="H342" s="24" t="s">
        <v>1335</v>
      </c>
      <c r="I342" s="28">
        <v>0</v>
      </c>
      <c r="J342" s="29">
        <v>10.1833333333333</v>
      </c>
      <c r="K342" s="30">
        <v>0</v>
      </c>
      <c r="L342" s="30">
        <v>0</v>
      </c>
      <c r="M342" s="30">
        <v>10.1833333333333</v>
      </c>
      <c r="N342" s="31">
        <v>9.60783119425712</v>
      </c>
      <c r="O342" s="30">
        <v>0</v>
      </c>
      <c r="P342" s="30">
        <v>0</v>
      </c>
      <c r="Q342" s="30">
        <v>9.60783119425712</v>
      </c>
      <c r="R342" s="30">
        <v>-0.57550213907621</v>
      </c>
      <c r="S342" s="32">
        <v>2.49554056993691</v>
      </c>
      <c r="T342" s="24" t="s">
        <v>1326</v>
      </c>
      <c r="U342" s="24" t="s">
        <v>272</v>
      </c>
      <c r="V342" s="22">
        <v>45944</v>
      </c>
      <c r="W342" s="23">
        <v>6</v>
      </c>
    </row>
    <row r="343" ht="16.5" customHeight="1" spans="2:23">
      <c r="B343" s="15">
        <v>1</v>
      </c>
      <c r="C343" s="35" t="s">
        <v>556</v>
      </c>
      <c r="D343" s="35" t="s">
        <v>693</v>
      </c>
      <c r="E343" s="35" t="s">
        <v>1291</v>
      </c>
      <c r="F343" s="41">
        <v>169</v>
      </c>
      <c r="G343" s="35" t="s">
        <v>1271</v>
      </c>
      <c r="H343" s="25" t="s">
        <v>1330</v>
      </c>
      <c r="I343" s="42">
        <v>31</v>
      </c>
      <c r="J343" s="43">
        <f>M343+L343</f>
        <v>9484.09677419355</v>
      </c>
      <c r="K343" s="44">
        <v>244500</v>
      </c>
      <c r="L343" s="44">
        <f>K343/I343</f>
        <v>7887.09677419355</v>
      </c>
      <c r="M343" s="44">
        <v>1597</v>
      </c>
      <c r="N343" s="41">
        <f>Q343+P343</f>
        <v>7444.1935483871</v>
      </c>
      <c r="O343" s="44">
        <v>210000</v>
      </c>
      <c r="P343" s="44">
        <f>O343/I343</f>
        <v>6774.1935483871</v>
      </c>
      <c r="Q343" s="45">
        <v>670</v>
      </c>
      <c r="R343" s="44">
        <f>N343-J343</f>
        <v>-2039.90322580645</v>
      </c>
      <c r="S343" s="46">
        <f>N343/F343</f>
        <v>44.0484825348349</v>
      </c>
      <c r="T343" s="35" t="s">
        <v>1343</v>
      </c>
      <c r="U343" s="2" t="s">
        <v>239</v>
      </c>
      <c r="V343" s="22">
        <v>45950</v>
      </c>
      <c r="W343" s="23">
        <f>I343</f>
        <v>31</v>
      </c>
    </row>
    <row r="344" ht="16.5" customHeight="1" spans="2:23">
      <c r="B344" s="15">
        <v>1</v>
      </c>
      <c r="C344" s="35" t="s">
        <v>580</v>
      </c>
      <c r="D344" s="35" t="s">
        <v>693</v>
      </c>
      <c r="E344" s="35" t="s">
        <v>1291</v>
      </c>
      <c r="F344" s="41">
        <v>169</v>
      </c>
      <c r="G344" s="35" t="s">
        <v>1271</v>
      </c>
      <c r="H344" s="25" t="s">
        <v>1330</v>
      </c>
      <c r="I344" s="42">
        <v>38</v>
      </c>
      <c r="J344" s="43">
        <f>M344+L344</f>
        <v>8470.57894736842</v>
      </c>
      <c r="K344" s="44">
        <v>255800</v>
      </c>
      <c r="L344" s="44">
        <f>K344/I344</f>
        <v>6731.57894736842</v>
      </c>
      <c r="M344" s="44">
        <v>1739</v>
      </c>
      <c r="N344" s="41">
        <f>Q344+P344</f>
        <v>6337.8947368421</v>
      </c>
      <c r="O344" s="44">
        <v>215000</v>
      </c>
      <c r="P344" s="44">
        <f>O344/I344</f>
        <v>5657.8947368421</v>
      </c>
      <c r="Q344" s="45">
        <v>680</v>
      </c>
      <c r="R344" s="44">
        <f>N344-J344</f>
        <v>-2132.68421052631</v>
      </c>
      <c r="S344" s="46">
        <f>N344/F344</f>
        <v>37.5023357209592</v>
      </c>
      <c r="T344" s="35" t="s">
        <v>1343</v>
      </c>
      <c r="U344" s="2" t="s">
        <v>239</v>
      </c>
      <c r="V344" s="22">
        <v>45950</v>
      </c>
      <c r="W344" s="23">
        <f>I344</f>
        <v>38</v>
      </c>
    </row>
    <row r="345" ht="16.5" customHeight="1" spans="2:23">
      <c r="B345" s="15">
        <v>1</v>
      </c>
      <c r="C345" s="35" t="s">
        <v>692</v>
      </c>
      <c r="D345" s="35" t="s">
        <v>1344</v>
      </c>
      <c r="E345" s="35" t="s">
        <v>1291</v>
      </c>
      <c r="F345" s="41">
        <v>156.64</v>
      </c>
      <c r="G345" s="35" t="s">
        <v>1271</v>
      </c>
      <c r="H345" s="25" t="s">
        <v>1330</v>
      </c>
      <c r="I345" s="42">
        <v>35</v>
      </c>
      <c r="J345" s="43">
        <f>M345+L345</f>
        <v>9940.42857142857</v>
      </c>
      <c r="K345" s="44">
        <v>279300</v>
      </c>
      <c r="L345" s="44">
        <f>K345/I345</f>
        <v>7980</v>
      </c>
      <c r="M345" s="44">
        <v>1960.42857142857</v>
      </c>
      <c r="N345" s="41">
        <f>Q345+P345</f>
        <v>6670</v>
      </c>
      <c r="O345" s="44">
        <v>210000</v>
      </c>
      <c r="P345" s="44">
        <f>O345/I345</f>
        <v>6000</v>
      </c>
      <c r="Q345" s="45">
        <v>670</v>
      </c>
      <c r="R345" s="44">
        <f>N345-J345</f>
        <v>-3270.42857142857</v>
      </c>
      <c r="S345" s="46">
        <f>N345/F345</f>
        <v>42.5817160367722</v>
      </c>
      <c r="T345" s="35" t="s">
        <v>1345</v>
      </c>
      <c r="U345" s="2" t="s">
        <v>239</v>
      </c>
      <c r="V345" s="22">
        <v>45950</v>
      </c>
      <c r="W345" s="23">
        <f>I345</f>
        <v>35</v>
      </c>
    </row>
    <row r="346" ht="16.5" customHeight="1" spans="2:23">
      <c r="B346" s="15">
        <v>1</v>
      </c>
      <c r="C346" s="16" t="s">
        <v>323</v>
      </c>
      <c r="D346" s="16" t="s">
        <v>1346</v>
      </c>
      <c r="E346" s="16" t="s">
        <v>1347</v>
      </c>
      <c r="F346" s="16">
        <v>603.7</v>
      </c>
      <c r="G346" s="16" t="s">
        <v>1260</v>
      </c>
      <c r="H346" s="16" t="s">
        <v>1348</v>
      </c>
      <c r="I346" s="16">
        <v>0</v>
      </c>
      <c r="J346" s="47">
        <v>1086.66</v>
      </c>
      <c r="K346" s="30">
        <v>0</v>
      </c>
      <c r="L346" s="30">
        <v>0</v>
      </c>
      <c r="M346" s="30">
        <v>1086.66</v>
      </c>
      <c r="N346" s="31">
        <v>879.974071222265</v>
      </c>
      <c r="O346" s="30">
        <v>0</v>
      </c>
      <c r="P346" s="30">
        <v>0</v>
      </c>
      <c r="Q346" s="30">
        <v>879.974071222265</v>
      </c>
      <c r="R346" s="30">
        <v>-206.685928777735</v>
      </c>
      <c r="S346" s="32">
        <v>1.45763470469151</v>
      </c>
      <c r="T346" s="16" t="s">
        <v>1326</v>
      </c>
      <c r="U346" s="16" t="s">
        <v>272</v>
      </c>
      <c r="V346" s="22">
        <v>45942</v>
      </c>
      <c r="W346" s="23">
        <v>18</v>
      </c>
    </row>
    <row r="347" ht="16.5" customHeight="1" spans="2:23">
      <c r="B347" s="15">
        <v>1</v>
      </c>
      <c r="C347" s="16" t="s">
        <v>323</v>
      </c>
      <c r="D347" s="16" t="s">
        <v>1349</v>
      </c>
      <c r="E347" s="16" t="s">
        <v>1350</v>
      </c>
      <c r="F347" s="16">
        <v>4.81</v>
      </c>
      <c r="G347" s="16" t="s">
        <v>1260</v>
      </c>
      <c r="H347" s="16" t="s">
        <v>1348</v>
      </c>
      <c r="I347" s="16">
        <v>0</v>
      </c>
      <c r="J347" s="47">
        <v>8.658</v>
      </c>
      <c r="K347" s="30">
        <v>0</v>
      </c>
      <c r="L347" s="30">
        <v>0</v>
      </c>
      <c r="M347" s="30">
        <v>8.658</v>
      </c>
      <c r="N347" s="31">
        <v>7.01122292956616</v>
      </c>
      <c r="O347" s="30">
        <v>0</v>
      </c>
      <c r="P347" s="30">
        <v>0</v>
      </c>
      <c r="Q347" s="30">
        <v>7.01122292956616</v>
      </c>
      <c r="R347" s="30">
        <v>-1.64677707043384</v>
      </c>
      <c r="S347" s="32">
        <v>1.45763470469151</v>
      </c>
      <c r="T347" s="16" t="s">
        <v>1326</v>
      </c>
      <c r="U347" s="16" t="s">
        <v>272</v>
      </c>
      <c r="V347" s="22">
        <v>45942</v>
      </c>
      <c r="W347" s="23">
        <v>34</v>
      </c>
    </row>
    <row r="348" ht="16.5" customHeight="1" spans="2:23">
      <c r="B348" s="15">
        <v>1</v>
      </c>
      <c r="C348" s="16" t="s">
        <v>323</v>
      </c>
      <c r="D348" s="16" t="s">
        <v>1351</v>
      </c>
      <c r="E348" s="16" t="s">
        <v>1352</v>
      </c>
      <c r="F348" s="16">
        <v>4.81</v>
      </c>
      <c r="G348" s="16" t="s">
        <v>1260</v>
      </c>
      <c r="H348" s="16" t="s">
        <v>1348</v>
      </c>
      <c r="I348" s="16">
        <v>0</v>
      </c>
      <c r="J348" s="47">
        <v>8.658</v>
      </c>
      <c r="K348" s="30">
        <v>0</v>
      </c>
      <c r="L348" s="30">
        <v>0</v>
      </c>
      <c r="M348" s="30">
        <v>8.658</v>
      </c>
      <c r="N348" s="31">
        <v>7.01122292956616</v>
      </c>
      <c r="O348" s="30">
        <v>0</v>
      </c>
      <c r="P348" s="30">
        <v>0</v>
      </c>
      <c r="Q348" s="30">
        <v>7.01122292956616</v>
      </c>
      <c r="R348" s="30">
        <v>-1.64677707043384</v>
      </c>
      <c r="S348" s="32">
        <v>1.45763470469151</v>
      </c>
      <c r="T348" s="16" t="s">
        <v>1326</v>
      </c>
      <c r="U348" s="16" t="s">
        <v>272</v>
      </c>
      <c r="V348" s="22">
        <v>45942</v>
      </c>
      <c r="W348" s="23">
        <v>34</v>
      </c>
    </row>
    <row r="349" ht="16.5" customHeight="1" spans="2:23">
      <c r="B349" s="15">
        <v>1</v>
      </c>
      <c r="C349" s="16" t="s">
        <v>323</v>
      </c>
      <c r="D349" s="16" t="s">
        <v>1353</v>
      </c>
      <c r="E349" s="16" t="s">
        <v>1332</v>
      </c>
      <c r="F349" s="16">
        <v>45</v>
      </c>
      <c r="G349" s="16" t="s">
        <v>1260</v>
      </c>
      <c r="H349" s="16" t="s">
        <v>1348</v>
      </c>
      <c r="I349" s="16">
        <v>0</v>
      </c>
      <c r="J349" s="47">
        <v>81</v>
      </c>
      <c r="K349" s="30">
        <v>0</v>
      </c>
      <c r="L349" s="30">
        <v>0</v>
      </c>
      <c r="M349" s="30">
        <v>81</v>
      </c>
      <c r="N349" s="31">
        <v>65.593561711118</v>
      </c>
      <c r="O349" s="30">
        <v>0</v>
      </c>
      <c r="P349" s="30">
        <v>0</v>
      </c>
      <c r="Q349" s="30">
        <v>65.593561711118</v>
      </c>
      <c r="R349" s="30">
        <v>-15.406438288882</v>
      </c>
      <c r="S349" s="32">
        <v>1.45763470469151</v>
      </c>
      <c r="T349" s="16" t="s">
        <v>1326</v>
      </c>
      <c r="U349" s="16" t="s">
        <v>272</v>
      </c>
      <c r="V349" s="22">
        <v>45942</v>
      </c>
      <c r="W349" s="23">
        <v>18</v>
      </c>
    </row>
    <row r="350" ht="16.5" customHeight="1" spans="2:23">
      <c r="B350" s="15">
        <v>1</v>
      </c>
      <c r="C350" s="16" t="s">
        <v>323</v>
      </c>
      <c r="D350" s="16" t="s">
        <v>1354</v>
      </c>
      <c r="E350" s="16" t="s">
        <v>593</v>
      </c>
      <c r="F350" s="16">
        <v>361.49</v>
      </c>
      <c r="G350" s="16" t="s">
        <v>1260</v>
      </c>
      <c r="H350" s="16" t="s">
        <v>1348</v>
      </c>
      <c r="I350" s="16">
        <v>0</v>
      </c>
      <c r="J350" s="47">
        <v>650.682</v>
      </c>
      <c r="K350" s="30">
        <v>0</v>
      </c>
      <c r="L350" s="30">
        <v>0</v>
      </c>
      <c r="M350" s="30">
        <v>650.682</v>
      </c>
      <c r="N350" s="31">
        <v>526.920369398934</v>
      </c>
      <c r="O350" s="30">
        <v>0</v>
      </c>
      <c r="P350" s="30">
        <v>0</v>
      </c>
      <c r="Q350" s="30">
        <v>526.920369398934</v>
      </c>
      <c r="R350" s="30">
        <v>-123.761630601066</v>
      </c>
      <c r="S350" s="32">
        <v>1.45763470469151</v>
      </c>
      <c r="T350" s="16" t="s">
        <v>1326</v>
      </c>
      <c r="U350" s="16" t="s">
        <v>272</v>
      </c>
      <c r="V350" s="22">
        <v>45942</v>
      </c>
      <c r="W350" s="23">
        <v>14</v>
      </c>
    </row>
    <row r="351" ht="16.5" customHeight="1" spans="2:23">
      <c r="B351" s="15">
        <v>1</v>
      </c>
      <c r="C351" s="16" t="s">
        <v>323</v>
      </c>
      <c r="D351" s="16" t="s">
        <v>1355</v>
      </c>
      <c r="E351" s="16" t="s">
        <v>1356</v>
      </c>
      <c r="F351" s="16">
        <v>12.67</v>
      </c>
      <c r="G351" s="16" t="s">
        <v>1260</v>
      </c>
      <c r="H351" s="16" t="s">
        <v>1348</v>
      </c>
      <c r="I351" s="16">
        <v>0</v>
      </c>
      <c r="J351" s="47">
        <v>22.806</v>
      </c>
      <c r="K351" s="30">
        <v>0</v>
      </c>
      <c r="L351" s="30">
        <v>0</v>
      </c>
      <c r="M351" s="30">
        <v>22.806</v>
      </c>
      <c r="N351" s="31">
        <v>18.4682317084414</v>
      </c>
      <c r="O351" s="30">
        <v>0</v>
      </c>
      <c r="P351" s="30">
        <v>0</v>
      </c>
      <c r="Q351" s="30">
        <v>18.4682317084414</v>
      </c>
      <c r="R351" s="30">
        <v>-4.33776829155857</v>
      </c>
      <c r="S351" s="32">
        <v>1.45763470469151</v>
      </c>
      <c r="T351" s="16" t="s">
        <v>1326</v>
      </c>
      <c r="U351" s="16" t="s">
        <v>272</v>
      </c>
      <c r="V351" s="22">
        <v>45942</v>
      </c>
      <c r="W351" s="23">
        <v>14</v>
      </c>
    </row>
    <row r="352" ht="16.5" customHeight="1" spans="2:23">
      <c r="B352" s="15">
        <v>1</v>
      </c>
      <c r="C352" s="16" t="s">
        <v>323</v>
      </c>
      <c r="D352" s="16" t="s">
        <v>1357</v>
      </c>
      <c r="E352" s="16" t="s">
        <v>1358</v>
      </c>
      <c r="F352" s="16">
        <v>12.67</v>
      </c>
      <c r="G352" s="16" t="s">
        <v>1260</v>
      </c>
      <c r="H352" s="16" t="s">
        <v>1348</v>
      </c>
      <c r="I352" s="16">
        <v>0</v>
      </c>
      <c r="J352" s="47">
        <v>22.806</v>
      </c>
      <c r="K352" s="30">
        <v>0</v>
      </c>
      <c r="L352" s="30">
        <v>0</v>
      </c>
      <c r="M352" s="30">
        <v>22.806</v>
      </c>
      <c r="N352" s="31">
        <v>18.4682317084414</v>
      </c>
      <c r="O352" s="30">
        <v>0</v>
      </c>
      <c r="P352" s="30">
        <v>0</v>
      </c>
      <c r="Q352" s="30">
        <v>18.4682317084414</v>
      </c>
      <c r="R352" s="30">
        <v>-4.33776829155857</v>
      </c>
      <c r="S352" s="32">
        <v>1.45763470469151</v>
      </c>
      <c r="T352" s="16" t="s">
        <v>1326</v>
      </c>
      <c r="U352" s="16" t="s">
        <v>272</v>
      </c>
      <c r="V352" s="22">
        <v>45942</v>
      </c>
      <c r="W352" s="23">
        <v>14</v>
      </c>
    </row>
    <row r="353" ht="16.5" customHeight="1" spans="2:23">
      <c r="B353" s="15">
        <v>1</v>
      </c>
      <c r="C353" s="16" t="s">
        <v>323</v>
      </c>
      <c r="D353" s="16" t="s">
        <v>1359</v>
      </c>
      <c r="E353" s="16" t="s">
        <v>1360</v>
      </c>
      <c r="F353" s="16">
        <v>7.84</v>
      </c>
      <c r="G353" s="16" t="s">
        <v>1260</v>
      </c>
      <c r="H353" s="16" t="s">
        <v>1348</v>
      </c>
      <c r="I353" s="16">
        <v>0</v>
      </c>
      <c r="J353" s="47">
        <v>14.112</v>
      </c>
      <c r="K353" s="30">
        <v>0</v>
      </c>
      <c r="L353" s="30">
        <v>0</v>
      </c>
      <c r="M353" s="30">
        <v>14.112</v>
      </c>
      <c r="N353" s="31">
        <v>11.4278560847814</v>
      </c>
      <c r="O353" s="30">
        <v>0</v>
      </c>
      <c r="P353" s="30">
        <v>0</v>
      </c>
      <c r="Q353" s="30">
        <v>11.4278560847814</v>
      </c>
      <c r="R353" s="30">
        <v>-2.68414391521856</v>
      </c>
      <c r="S353" s="32">
        <v>1.45763470469151</v>
      </c>
      <c r="T353" s="16" t="s">
        <v>1326</v>
      </c>
      <c r="U353" s="16" t="s">
        <v>272</v>
      </c>
      <c r="V353" s="22">
        <v>45942</v>
      </c>
      <c r="W353" s="23">
        <v>14</v>
      </c>
    </row>
    <row r="354" ht="16.5" customHeight="1" spans="2:23">
      <c r="B354" s="15">
        <v>1</v>
      </c>
      <c r="C354" s="16" t="s">
        <v>323</v>
      </c>
      <c r="D354" s="16" t="s">
        <v>1361</v>
      </c>
      <c r="E354" s="16" t="s">
        <v>1362</v>
      </c>
      <c r="F354" s="16">
        <v>7.84</v>
      </c>
      <c r="G354" s="16" t="s">
        <v>1260</v>
      </c>
      <c r="H354" s="16" t="s">
        <v>1348</v>
      </c>
      <c r="I354" s="16">
        <v>0</v>
      </c>
      <c r="J354" s="47">
        <v>14.112</v>
      </c>
      <c r="K354" s="30">
        <v>0</v>
      </c>
      <c r="L354" s="30">
        <v>0</v>
      </c>
      <c r="M354" s="30">
        <v>14.112</v>
      </c>
      <c r="N354" s="31">
        <v>11.4278560847814</v>
      </c>
      <c r="O354" s="30">
        <v>0</v>
      </c>
      <c r="P354" s="30">
        <v>0</v>
      </c>
      <c r="Q354" s="30">
        <v>11.4278560847814</v>
      </c>
      <c r="R354" s="30">
        <v>-2.68414391521856</v>
      </c>
      <c r="S354" s="32">
        <v>1.45763470469151</v>
      </c>
      <c r="T354" s="16" t="s">
        <v>1326</v>
      </c>
      <c r="U354" s="16" t="s">
        <v>272</v>
      </c>
      <c r="V354" s="22">
        <v>45942</v>
      </c>
      <c r="W354" s="23">
        <v>14</v>
      </c>
    </row>
    <row r="355" ht="16.5" customHeight="1" spans="2:23">
      <c r="B355" s="15">
        <v>1</v>
      </c>
      <c r="C355" s="16" t="s">
        <v>323</v>
      </c>
      <c r="D355" s="16" t="s">
        <v>1363</v>
      </c>
      <c r="E355" s="16" t="s">
        <v>1364</v>
      </c>
      <c r="F355" s="16">
        <v>23.42</v>
      </c>
      <c r="G355" s="16" t="s">
        <v>1260</v>
      </c>
      <c r="H355" s="16" t="s">
        <v>1348</v>
      </c>
      <c r="I355" s="16">
        <v>0</v>
      </c>
      <c r="J355" s="47">
        <v>42.156</v>
      </c>
      <c r="K355" s="30">
        <v>0</v>
      </c>
      <c r="L355" s="30">
        <v>0</v>
      </c>
      <c r="M355" s="30">
        <v>42.156</v>
      </c>
      <c r="N355" s="31">
        <v>34.1378047838752</v>
      </c>
      <c r="O355" s="30">
        <v>0</v>
      </c>
      <c r="P355" s="30">
        <v>0</v>
      </c>
      <c r="Q355" s="30">
        <v>34.1378047838752</v>
      </c>
      <c r="R355" s="30">
        <v>-8.01819521612483</v>
      </c>
      <c r="S355" s="32">
        <v>1.45763470469151</v>
      </c>
      <c r="T355" s="16" t="s">
        <v>1326</v>
      </c>
      <c r="U355" s="16" t="s">
        <v>272</v>
      </c>
      <c r="V355" s="22">
        <v>45942</v>
      </c>
      <c r="W355" s="23">
        <v>34</v>
      </c>
    </row>
    <row r="356" ht="16.5" customHeight="1" spans="2:23">
      <c r="B356" s="15">
        <v>1</v>
      </c>
      <c r="C356" s="16" t="s">
        <v>323</v>
      </c>
      <c r="D356" s="16" t="s">
        <v>1365</v>
      </c>
      <c r="E356" s="16" t="s">
        <v>1366</v>
      </c>
      <c r="F356" s="16">
        <v>83.3</v>
      </c>
      <c r="G356" s="16" t="s">
        <v>1260</v>
      </c>
      <c r="H356" s="16" t="s">
        <v>1348</v>
      </c>
      <c r="I356" s="16">
        <v>0</v>
      </c>
      <c r="J356" s="47">
        <v>149.94</v>
      </c>
      <c r="K356" s="30">
        <v>0</v>
      </c>
      <c r="L356" s="30">
        <v>0</v>
      </c>
      <c r="M356" s="30">
        <v>149.94</v>
      </c>
      <c r="N356" s="31">
        <v>121.420970900803</v>
      </c>
      <c r="O356" s="30">
        <v>0</v>
      </c>
      <c r="P356" s="30">
        <v>0</v>
      </c>
      <c r="Q356" s="30">
        <v>121.420970900803</v>
      </c>
      <c r="R356" s="30">
        <v>-28.5190290991972</v>
      </c>
      <c r="S356" s="32">
        <v>1.45763470469151</v>
      </c>
      <c r="T356" s="16" t="s">
        <v>1326</v>
      </c>
      <c r="U356" s="16" t="s">
        <v>272</v>
      </c>
      <c r="V356" s="22">
        <v>45942</v>
      </c>
      <c r="W356" s="23">
        <v>34</v>
      </c>
    </row>
    <row r="357" ht="16.5" customHeight="1" spans="2:23">
      <c r="B357" s="15">
        <v>1</v>
      </c>
      <c r="C357" s="16" t="s">
        <v>323</v>
      </c>
      <c r="D357" s="16" t="s">
        <v>1367</v>
      </c>
      <c r="E357" s="16" t="s">
        <v>396</v>
      </c>
      <c r="F357" s="16">
        <v>629.64</v>
      </c>
      <c r="G357" s="16" t="s">
        <v>1260</v>
      </c>
      <c r="H357" s="16" t="s">
        <v>1348</v>
      </c>
      <c r="I357" s="16">
        <v>0</v>
      </c>
      <c r="J357" s="47">
        <v>1133.352</v>
      </c>
      <c r="K357" s="30">
        <v>0</v>
      </c>
      <c r="L357" s="30">
        <v>0</v>
      </c>
      <c r="M357" s="30">
        <v>1133.352</v>
      </c>
      <c r="N357" s="31">
        <v>917.785115461962</v>
      </c>
      <c r="O357" s="30">
        <v>0</v>
      </c>
      <c r="P357" s="30">
        <v>0</v>
      </c>
      <c r="Q357" s="30">
        <v>917.785115461962</v>
      </c>
      <c r="R357" s="30">
        <v>-215.566884538038</v>
      </c>
      <c r="S357" s="32">
        <v>1.45763470469151</v>
      </c>
      <c r="T357" s="16" t="s">
        <v>1326</v>
      </c>
      <c r="U357" s="16" t="s">
        <v>272</v>
      </c>
      <c r="V357" s="22">
        <v>45942</v>
      </c>
      <c r="W357" s="23">
        <v>17</v>
      </c>
    </row>
    <row r="358" ht="16.5" customHeight="1" spans="2:23">
      <c r="B358" s="15">
        <v>1</v>
      </c>
      <c r="C358" s="16" t="s">
        <v>323</v>
      </c>
      <c r="D358" s="16" t="s">
        <v>1331</v>
      </c>
      <c r="E358" s="16" t="s">
        <v>1332</v>
      </c>
      <c r="F358" s="16">
        <v>38</v>
      </c>
      <c r="G358" s="16" t="s">
        <v>1260</v>
      </c>
      <c r="H358" s="16" t="s">
        <v>1348</v>
      </c>
      <c r="I358" s="16">
        <v>0</v>
      </c>
      <c r="J358" s="47">
        <v>68.4</v>
      </c>
      <c r="K358" s="30">
        <v>0</v>
      </c>
      <c r="L358" s="30">
        <v>0</v>
      </c>
      <c r="M358" s="30">
        <v>68.4</v>
      </c>
      <c r="N358" s="31">
        <v>55.3901187782774</v>
      </c>
      <c r="O358" s="30">
        <v>0</v>
      </c>
      <c r="P358" s="30">
        <v>0</v>
      </c>
      <c r="Q358" s="30">
        <v>55.3901187782774</v>
      </c>
      <c r="R358" s="30">
        <v>-13.0098812217226</v>
      </c>
      <c r="S358" s="32">
        <v>1.45763470469151</v>
      </c>
      <c r="T358" s="16" t="s">
        <v>1326</v>
      </c>
      <c r="U358" s="16" t="s">
        <v>272</v>
      </c>
      <c r="V358" s="22">
        <v>45942</v>
      </c>
      <c r="W358" s="23">
        <v>16</v>
      </c>
    </row>
    <row r="359" ht="16.5" customHeight="1" spans="2:23">
      <c r="B359" s="15">
        <v>1</v>
      </c>
      <c r="C359" s="16" t="s">
        <v>323</v>
      </c>
      <c r="D359" s="16" t="s">
        <v>1368</v>
      </c>
      <c r="E359" s="16" t="s">
        <v>1369</v>
      </c>
      <c r="F359" s="16">
        <v>114.77</v>
      </c>
      <c r="G359" s="16" t="s">
        <v>1260</v>
      </c>
      <c r="H359" s="16" t="s">
        <v>1348</v>
      </c>
      <c r="I359" s="16">
        <v>0</v>
      </c>
      <c r="J359" s="47">
        <v>206.586</v>
      </c>
      <c r="K359" s="30">
        <v>0</v>
      </c>
      <c r="L359" s="30">
        <v>0</v>
      </c>
      <c r="M359" s="30">
        <v>206.586</v>
      </c>
      <c r="N359" s="31">
        <v>167.292735057445</v>
      </c>
      <c r="O359" s="30">
        <v>0</v>
      </c>
      <c r="P359" s="30">
        <v>0</v>
      </c>
      <c r="Q359" s="30">
        <v>167.292735057445</v>
      </c>
      <c r="R359" s="30">
        <v>-39.2932649425554</v>
      </c>
      <c r="S359" s="32">
        <v>1.45763470469151</v>
      </c>
      <c r="T359" s="16" t="s">
        <v>1326</v>
      </c>
      <c r="U359" s="16" t="s">
        <v>272</v>
      </c>
      <c r="V359" s="22">
        <v>45942</v>
      </c>
      <c r="W359" s="23">
        <v>14</v>
      </c>
    </row>
    <row r="360" ht="16.5" customHeight="1" spans="2:23">
      <c r="B360" s="15">
        <v>1</v>
      </c>
      <c r="C360" s="16" t="s">
        <v>323</v>
      </c>
      <c r="D360" s="16" t="s">
        <v>1370</v>
      </c>
      <c r="E360" s="16" t="s">
        <v>1371</v>
      </c>
      <c r="F360" s="16">
        <v>114.77</v>
      </c>
      <c r="G360" s="16" t="s">
        <v>1260</v>
      </c>
      <c r="H360" s="16" t="s">
        <v>1348</v>
      </c>
      <c r="I360" s="16">
        <v>0</v>
      </c>
      <c r="J360" s="47">
        <v>206.586</v>
      </c>
      <c r="K360" s="30">
        <v>0</v>
      </c>
      <c r="L360" s="30">
        <v>0</v>
      </c>
      <c r="M360" s="30">
        <v>206.586</v>
      </c>
      <c r="N360" s="31">
        <v>167.292735057445</v>
      </c>
      <c r="O360" s="30">
        <v>0</v>
      </c>
      <c r="P360" s="30">
        <v>0</v>
      </c>
      <c r="Q360" s="30">
        <v>167.292735057445</v>
      </c>
      <c r="R360" s="30">
        <v>-39.2932649425554</v>
      </c>
      <c r="S360" s="32">
        <v>1.45763470469151</v>
      </c>
      <c r="T360" s="16" t="s">
        <v>1326</v>
      </c>
      <c r="U360" s="16" t="s">
        <v>272</v>
      </c>
      <c r="V360" s="22">
        <v>45942</v>
      </c>
      <c r="W360" s="23">
        <v>14</v>
      </c>
    </row>
    <row r="361" ht="16.5" customHeight="1" spans="2:23">
      <c r="B361" s="15">
        <v>1</v>
      </c>
      <c r="C361" s="16" t="s">
        <v>571</v>
      </c>
      <c r="D361" s="16" t="s">
        <v>1372</v>
      </c>
      <c r="E361" s="16" t="s">
        <v>1304</v>
      </c>
      <c r="F361" s="16">
        <v>729.92</v>
      </c>
      <c r="G361" s="16" t="s">
        <v>1260</v>
      </c>
      <c r="H361" s="16" t="s">
        <v>1305</v>
      </c>
      <c r="I361" s="16" t="s">
        <v>544</v>
      </c>
      <c r="J361" s="47">
        <f t="shared" ref="J361:J376" si="4">L361+M361</f>
        <v>996.56</v>
      </c>
      <c r="K361" s="30" t="s">
        <v>544</v>
      </c>
      <c r="L361" s="30">
        <v>0</v>
      </c>
      <c r="M361" s="30">
        <v>996.56</v>
      </c>
      <c r="N361" s="31">
        <f t="shared" ref="N361:N376" si="5">P361+Q361</f>
        <v>996.56</v>
      </c>
      <c r="O361" s="30" t="s">
        <v>544</v>
      </c>
      <c r="P361" s="30">
        <v>0</v>
      </c>
      <c r="Q361" s="30">
        <v>996.56</v>
      </c>
      <c r="R361" s="30">
        <f t="shared" ref="R361:R376" si="6">N361-J361</f>
        <v>0</v>
      </c>
      <c r="S361" s="32">
        <f t="shared" ref="S361:S376" si="7">N361/F361</f>
        <v>1.36530030688295</v>
      </c>
      <c r="T361" s="16" t="s">
        <v>1306</v>
      </c>
      <c r="U361" s="16" t="s">
        <v>340</v>
      </c>
      <c r="V361" s="22">
        <v>45972</v>
      </c>
      <c r="W361" s="23">
        <v>21</v>
      </c>
    </row>
    <row r="362" ht="16.5" customHeight="1" spans="2:23">
      <c r="B362" s="15">
        <v>1</v>
      </c>
      <c r="C362" s="16" t="s">
        <v>571</v>
      </c>
      <c r="D362" s="16" t="s">
        <v>1373</v>
      </c>
      <c r="E362" s="16" t="s">
        <v>1304</v>
      </c>
      <c r="F362" s="16">
        <v>1164.1</v>
      </c>
      <c r="G362" s="16" t="s">
        <v>1260</v>
      </c>
      <c r="H362" s="16" t="s">
        <v>1305</v>
      </c>
      <c r="I362" s="16" t="s">
        <v>544</v>
      </c>
      <c r="J362" s="47">
        <f t="shared" si="4"/>
        <v>1430.74</v>
      </c>
      <c r="K362" s="30" t="s">
        <v>544</v>
      </c>
      <c r="L362" s="30">
        <v>0</v>
      </c>
      <c r="M362" s="30">
        <v>1430.74</v>
      </c>
      <c r="N362" s="31">
        <f t="shared" si="5"/>
        <v>1430.74</v>
      </c>
      <c r="O362" s="30" t="s">
        <v>544</v>
      </c>
      <c r="P362" s="30">
        <v>0</v>
      </c>
      <c r="Q362" s="30">
        <v>1430.74</v>
      </c>
      <c r="R362" s="30">
        <f t="shared" si="6"/>
        <v>0</v>
      </c>
      <c r="S362" s="32">
        <f t="shared" si="7"/>
        <v>1.22905248689975</v>
      </c>
      <c r="T362" s="16" t="s">
        <v>1306</v>
      </c>
      <c r="U362" s="16" t="s">
        <v>340</v>
      </c>
      <c r="V362" s="22">
        <v>45972</v>
      </c>
      <c r="W362" s="23">
        <v>17</v>
      </c>
    </row>
    <row r="363" ht="16.5" customHeight="1" spans="2:23">
      <c r="B363" s="15">
        <v>1</v>
      </c>
      <c r="C363" s="16" t="s">
        <v>571</v>
      </c>
      <c r="D363" s="16" t="s">
        <v>1374</v>
      </c>
      <c r="E363" s="16" t="s">
        <v>1304</v>
      </c>
      <c r="F363" s="16">
        <v>1191.82</v>
      </c>
      <c r="G363" s="16" t="s">
        <v>1260</v>
      </c>
      <c r="H363" s="16" t="s">
        <v>1305</v>
      </c>
      <c r="I363" s="16" t="s">
        <v>544</v>
      </c>
      <c r="J363" s="47">
        <f t="shared" si="4"/>
        <v>1458.46</v>
      </c>
      <c r="K363" s="30" t="s">
        <v>544</v>
      </c>
      <c r="L363" s="30">
        <v>0</v>
      </c>
      <c r="M363" s="30">
        <v>1458.46</v>
      </c>
      <c r="N363" s="31">
        <f t="shared" si="5"/>
        <v>1458.46</v>
      </c>
      <c r="O363" s="30" t="s">
        <v>544</v>
      </c>
      <c r="P363" s="30">
        <v>0</v>
      </c>
      <c r="Q363" s="30">
        <v>1458.46</v>
      </c>
      <c r="R363" s="30">
        <f t="shared" si="6"/>
        <v>0</v>
      </c>
      <c r="S363" s="32">
        <f t="shared" si="7"/>
        <v>1.22372505915323</v>
      </c>
      <c r="T363" s="16" t="s">
        <v>1306</v>
      </c>
      <c r="U363" s="16" t="s">
        <v>340</v>
      </c>
      <c r="V363" s="22">
        <v>45972</v>
      </c>
      <c r="W363" s="23">
        <v>14</v>
      </c>
    </row>
    <row r="364" ht="16.5" customHeight="1" spans="2:23">
      <c r="B364" s="15">
        <v>1</v>
      </c>
      <c r="C364" s="16" t="s">
        <v>571</v>
      </c>
      <c r="D364" s="16" t="s">
        <v>1375</v>
      </c>
      <c r="E364" s="16" t="s">
        <v>1304</v>
      </c>
      <c r="F364" s="16">
        <v>1442.32</v>
      </c>
      <c r="G364" s="16" t="s">
        <v>1260</v>
      </c>
      <c r="H364" s="16" t="s">
        <v>1305</v>
      </c>
      <c r="I364" s="16" t="s">
        <v>544</v>
      </c>
      <c r="J364" s="47">
        <f t="shared" si="4"/>
        <v>1708.96</v>
      </c>
      <c r="K364" s="30" t="s">
        <v>544</v>
      </c>
      <c r="L364" s="30">
        <v>0</v>
      </c>
      <c r="M364" s="30">
        <v>1708.96</v>
      </c>
      <c r="N364" s="31">
        <f t="shared" si="5"/>
        <v>1708.96</v>
      </c>
      <c r="O364" s="30" t="s">
        <v>544</v>
      </c>
      <c r="P364" s="30">
        <v>0</v>
      </c>
      <c r="Q364" s="30">
        <v>1708.96</v>
      </c>
      <c r="R364" s="30">
        <f t="shared" si="6"/>
        <v>0</v>
      </c>
      <c r="S364" s="32">
        <f t="shared" si="7"/>
        <v>1.18486882245272</v>
      </c>
      <c r="T364" s="16" t="s">
        <v>1306</v>
      </c>
      <c r="U364" s="16" t="s">
        <v>340</v>
      </c>
      <c r="V364" s="22">
        <v>45972</v>
      </c>
      <c r="W364" s="23">
        <v>45</v>
      </c>
    </row>
    <row r="365" ht="16.5" customHeight="1" spans="2:23">
      <c r="B365" s="15">
        <v>1</v>
      </c>
      <c r="C365" s="16" t="s">
        <v>571</v>
      </c>
      <c r="D365" s="16" t="s">
        <v>1376</v>
      </c>
      <c r="E365" s="16" t="s">
        <v>1308</v>
      </c>
      <c r="F365" s="16">
        <v>650.55</v>
      </c>
      <c r="G365" s="16" t="s">
        <v>1260</v>
      </c>
      <c r="H365" s="16" t="s">
        <v>1305</v>
      </c>
      <c r="I365" s="16" t="s">
        <v>544</v>
      </c>
      <c r="J365" s="47">
        <f t="shared" si="4"/>
        <v>917.19</v>
      </c>
      <c r="K365" s="30" t="s">
        <v>544</v>
      </c>
      <c r="L365" s="30">
        <v>0</v>
      </c>
      <c r="M365" s="30">
        <v>917.19</v>
      </c>
      <c r="N365" s="31">
        <f t="shared" si="5"/>
        <v>917.19</v>
      </c>
      <c r="O365" s="30" t="s">
        <v>544</v>
      </c>
      <c r="P365" s="30">
        <v>0</v>
      </c>
      <c r="Q365" s="30">
        <v>917.19</v>
      </c>
      <c r="R365" s="30">
        <f t="shared" si="6"/>
        <v>0</v>
      </c>
      <c r="S365" s="32">
        <f t="shared" si="7"/>
        <v>1.40986857274614</v>
      </c>
      <c r="T365" s="16" t="s">
        <v>1306</v>
      </c>
      <c r="U365" s="16" t="s">
        <v>340</v>
      </c>
      <c r="V365" s="22">
        <v>45972</v>
      </c>
      <c r="W365" s="23">
        <v>22</v>
      </c>
    </row>
    <row r="366" ht="16.5" customHeight="1" spans="2:23">
      <c r="B366" s="15">
        <v>1</v>
      </c>
      <c r="C366" s="16" t="s">
        <v>571</v>
      </c>
      <c r="D366" s="16" t="s">
        <v>1377</v>
      </c>
      <c r="E366" s="16" t="s">
        <v>1308</v>
      </c>
      <c r="F366" s="16">
        <v>699.85</v>
      </c>
      <c r="G366" s="16" t="s">
        <v>1260</v>
      </c>
      <c r="H366" s="16" t="s">
        <v>1305</v>
      </c>
      <c r="I366" s="16" t="s">
        <v>544</v>
      </c>
      <c r="J366" s="47">
        <f t="shared" si="4"/>
        <v>966.49</v>
      </c>
      <c r="K366" s="30" t="s">
        <v>544</v>
      </c>
      <c r="L366" s="30">
        <v>0</v>
      </c>
      <c r="M366" s="30">
        <v>966.49</v>
      </c>
      <c r="N366" s="31">
        <f t="shared" si="5"/>
        <v>966.49</v>
      </c>
      <c r="O366" s="30" t="s">
        <v>544</v>
      </c>
      <c r="P366" s="30">
        <v>0</v>
      </c>
      <c r="Q366" s="30">
        <v>966.49</v>
      </c>
      <c r="R366" s="30">
        <f t="shared" si="6"/>
        <v>0</v>
      </c>
      <c r="S366" s="32">
        <f t="shared" si="7"/>
        <v>1.38099592769879</v>
      </c>
      <c r="T366" s="16" t="s">
        <v>1306</v>
      </c>
      <c r="U366" s="16" t="s">
        <v>340</v>
      </c>
      <c r="V366" s="22">
        <v>45972</v>
      </c>
      <c r="W366" s="23">
        <v>15</v>
      </c>
    </row>
    <row r="367" ht="16.5" customHeight="1" spans="2:23">
      <c r="B367" s="15">
        <v>1</v>
      </c>
      <c r="C367" s="16" t="s">
        <v>571</v>
      </c>
      <c r="D367" s="16" t="s">
        <v>1378</v>
      </c>
      <c r="E367" s="16" t="s">
        <v>1308</v>
      </c>
      <c r="F367" s="16">
        <v>1055.56</v>
      </c>
      <c r="G367" s="16" t="s">
        <v>1260</v>
      </c>
      <c r="H367" s="16" t="s">
        <v>1305</v>
      </c>
      <c r="I367" s="16" t="s">
        <v>544</v>
      </c>
      <c r="J367" s="47">
        <f t="shared" si="4"/>
        <v>1322.2</v>
      </c>
      <c r="K367" s="30" t="s">
        <v>544</v>
      </c>
      <c r="L367" s="30">
        <v>0</v>
      </c>
      <c r="M367" s="30">
        <v>1322.2</v>
      </c>
      <c r="N367" s="31">
        <f t="shared" si="5"/>
        <v>1322.2</v>
      </c>
      <c r="O367" s="30" t="s">
        <v>544</v>
      </c>
      <c r="P367" s="30">
        <v>0</v>
      </c>
      <c r="Q367" s="30">
        <v>1322.2</v>
      </c>
      <c r="R367" s="30">
        <f t="shared" si="6"/>
        <v>0</v>
      </c>
      <c r="S367" s="32">
        <f t="shared" si="7"/>
        <v>1.25260525218841</v>
      </c>
      <c r="T367" s="16" t="s">
        <v>1306</v>
      </c>
      <c r="U367" s="16" t="s">
        <v>340</v>
      </c>
      <c r="V367" s="22">
        <v>45972</v>
      </c>
      <c r="W367" s="23">
        <v>17</v>
      </c>
    </row>
    <row r="368" ht="16.5" customHeight="1" spans="2:23">
      <c r="B368" s="15">
        <v>1</v>
      </c>
      <c r="C368" s="16" t="s">
        <v>571</v>
      </c>
      <c r="D368" s="16" t="s">
        <v>1379</v>
      </c>
      <c r="E368" s="16" t="s">
        <v>1308</v>
      </c>
      <c r="F368" s="16">
        <v>1303.9</v>
      </c>
      <c r="G368" s="16" t="s">
        <v>1260</v>
      </c>
      <c r="H368" s="16" t="s">
        <v>1305</v>
      </c>
      <c r="I368" s="16" t="s">
        <v>544</v>
      </c>
      <c r="J368" s="47">
        <f t="shared" si="4"/>
        <v>1570.54</v>
      </c>
      <c r="K368" s="30" t="s">
        <v>544</v>
      </c>
      <c r="L368" s="30">
        <v>0</v>
      </c>
      <c r="M368" s="30">
        <v>1570.54</v>
      </c>
      <c r="N368" s="31">
        <f t="shared" si="5"/>
        <v>1570.54</v>
      </c>
      <c r="O368" s="30" t="s">
        <v>544</v>
      </c>
      <c r="P368" s="30">
        <v>0</v>
      </c>
      <c r="Q368" s="30">
        <v>1570.54</v>
      </c>
      <c r="R368" s="30">
        <f t="shared" si="6"/>
        <v>0</v>
      </c>
      <c r="S368" s="32">
        <f t="shared" si="7"/>
        <v>1.20449420967866</v>
      </c>
      <c r="T368" s="16" t="s">
        <v>1306</v>
      </c>
      <c r="U368" s="16" t="s">
        <v>340</v>
      </c>
      <c r="V368" s="22">
        <v>45972</v>
      </c>
      <c r="W368" s="23">
        <v>45</v>
      </c>
    </row>
    <row r="369" ht="16.5" customHeight="1" spans="2:23">
      <c r="B369" s="15">
        <v>1</v>
      </c>
      <c r="C369" s="16" t="s">
        <v>571</v>
      </c>
      <c r="D369" s="16" t="s">
        <v>1380</v>
      </c>
      <c r="E369" s="16" t="s">
        <v>1310</v>
      </c>
      <c r="F369" s="16">
        <v>622.79</v>
      </c>
      <c r="G369" s="16" t="s">
        <v>1260</v>
      </c>
      <c r="H369" s="16" t="s">
        <v>1305</v>
      </c>
      <c r="I369" s="16" t="s">
        <v>544</v>
      </c>
      <c r="J369" s="47">
        <f t="shared" si="4"/>
        <v>803.88</v>
      </c>
      <c r="K369" s="30" t="s">
        <v>544</v>
      </c>
      <c r="L369" s="30">
        <v>0</v>
      </c>
      <c r="M369" s="30">
        <v>803.88</v>
      </c>
      <c r="N369" s="31">
        <f t="shared" si="5"/>
        <v>803.88</v>
      </c>
      <c r="O369" s="30" t="s">
        <v>544</v>
      </c>
      <c r="P369" s="30">
        <v>0</v>
      </c>
      <c r="Q369" s="30">
        <v>803.88</v>
      </c>
      <c r="R369" s="30">
        <f t="shared" si="6"/>
        <v>0</v>
      </c>
      <c r="S369" s="32">
        <f t="shared" si="7"/>
        <v>1.29077217039451</v>
      </c>
      <c r="T369" s="16" t="s">
        <v>1306</v>
      </c>
      <c r="U369" s="16" t="s">
        <v>340</v>
      </c>
      <c r="V369" s="22">
        <v>45972</v>
      </c>
      <c r="W369" s="23">
        <v>31</v>
      </c>
    </row>
    <row r="370" ht="16.5" customHeight="1" spans="2:23">
      <c r="B370" s="15">
        <v>1</v>
      </c>
      <c r="C370" s="16" t="s">
        <v>571</v>
      </c>
      <c r="D370" s="16" t="s">
        <v>1381</v>
      </c>
      <c r="E370" s="16" t="s">
        <v>1310</v>
      </c>
      <c r="F370" s="16">
        <v>622.79</v>
      </c>
      <c r="G370" s="16" t="s">
        <v>1260</v>
      </c>
      <c r="H370" s="16" t="s">
        <v>1305</v>
      </c>
      <c r="I370" s="16" t="s">
        <v>544</v>
      </c>
      <c r="J370" s="47">
        <f t="shared" si="4"/>
        <v>803.88</v>
      </c>
      <c r="K370" s="30" t="s">
        <v>544</v>
      </c>
      <c r="L370" s="30">
        <v>0</v>
      </c>
      <c r="M370" s="30">
        <v>803.88</v>
      </c>
      <c r="N370" s="31">
        <f t="shared" si="5"/>
        <v>803.88</v>
      </c>
      <c r="O370" s="30" t="s">
        <v>544</v>
      </c>
      <c r="P370" s="30">
        <v>0</v>
      </c>
      <c r="Q370" s="30">
        <v>803.88</v>
      </c>
      <c r="R370" s="30">
        <f t="shared" si="6"/>
        <v>0</v>
      </c>
      <c r="S370" s="32">
        <f t="shared" si="7"/>
        <v>1.29077217039451</v>
      </c>
      <c r="T370" s="16" t="s">
        <v>1306</v>
      </c>
      <c r="U370" s="16" t="s">
        <v>340</v>
      </c>
      <c r="V370" s="22">
        <v>45972</v>
      </c>
      <c r="W370" s="23">
        <v>1</v>
      </c>
    </row>
    <row r="371" ht="16.5" customHeight="1" spans="2:23">
      <c r="B371" s="15">
        <v>1</v>
      </c>
      <c r="C371" s="16" t="s">
        <v>571</v>
      </c>
      <c r="D371" s="16" t="s">
        <v>1382</v>
      </c>
      <c r="E371" s="16" t="s">
        <v>1383</v>
      </c>
      <c r="F371" s="16">
        <v>231.36</v>
      </c>
      <c r="G371" s="16" t="s">
        <v>1260</v>
      </c>
      <c r="H371" s="16" t="s">
        <v>1305</v>
      </c>
      <c r="I371" s="16" t="s">
        <v>544</v>
      </c>
      <c r="J371" s="47">
        <f t="shared" si="4"/>
        <v>412.45</v>
      </c>
      <c r="K371" s="30" t="s">
        <v>544</v>
      </c>
      <c r="L371" s="30">
        <v>0</v>
      </c>
      <c r="M371" s="30">
        <v>412.45</v>
      </c>
      <c r="N371" s="31">
        <f t="shared" si="5"/>
        <v>412.45</v>
      </c>
      <c r="O371" s="30" t="s">
        <v>544</v>
      </c>
      <c r="P371" s="30">
        <v>0</v>
      </c>
      <c r="Q371" s="30">
        <v>412.45</v>
      </c>
      <c r="R371" s="30">
        <f t="shared" si="6"/>
        <v>0</v>
      </c>
      <c r="S371" s="32">
        <f t="shared" si="7"/>
        <v>1.78271957123098</v>
      </c>
      <c r="T371" s="16" t="s">
        <v>1306</v>
      </c>
      <c r="U371" s="16" t="s">
        <v>340</v>
      </c>
      <c r="V371" s="22">
        <v>45972</v>
      </c>
      <c r="W371" s="23">
        <v>77</v>
      </c>
    </row>
    <row r="372" ht="16.5" customHeight="1" spans="2:23">
      <c r="B372" s="15">
        <v>1</v>
      </c>
      <c r="C372" s="16" t="s">
        <v>571</v>
      </c>
      <c r="D372" s="16" t="s">
        <v>1384</v>
      </c>
      <c r="E372" s="16" t="s">
        <v>1385</v>
      </c>
      <c r="F372" s="16">
        <v>297.3</v>
      </c>
      <c r="G372" s="16" t="s">
        <v>1260</v>
      </c>
      <c r="H372" s="16" t="s">
        <v>1305</v>
      </c>
      <c r="I372" s="16" t="s">
        <v>544</v>
      </c>
      <c r="J372" s="47">
        <f t="shared" si="4"/>
        <v>453.32</v>
      </c>
      <c r="K372" s="30" t="s">
        <v>544</v>
      </c>
      <c r="L372" s="30">
        <v>0</v>
      </c>
      <c r="M372" s="30">
        <v>453.32</v>
      </c>
      <c r="N372" s="31">
        <f t="shared" si="5"/>
        <v>453.32</v>
      </c>
      <c r="O372" s="30" t="s">
        <v>544</v>
      </c>
      <c r="P372" s="30">
        <v>0</v>
      </c>
      <c r="Q372" s="30">
        <v>453.32</v>
      </c>
      <c r="R372" s="30">
        <f t="shared" si="6"/>
        <v>0</v>
      </c>
      <c r="S372" s="32">
        <f t="shared" si="7"/>
        <v>1.52478977463841</v>
      </c>
      <c r="T372" s="16" t="s">
        <v>1306</v>
      </c>
      <c r="U372" s="16" t="s">
        <v>340</v>
      </c>
      <c r="V372" s="22">
        <v>45972</v>
      </c>
      <c r="W372" s="23">
        <v>45</v>
      </c>
    </row>
    <row r="373" ht="16.5" customHeight="1" spans="2:23">
      <c r="B373" s="15">
        <v>1</v>
      </c>
      <c r="C373" s="16" t="s">
        <v>571</v>
      </c>
      <c r="D373" s="16" t="s">
        <v>1386</v>
      </c>
      <c r="E373" s="16" t="s">
        <v>1387</v>
      </c>
      <c r="F373" s="16">
        <v>451.6</v>
      </c>
      <c r="G373" s="16" t="s">
        <v>1260</v>
      </c>
      <c r="H373" s="16" t="s">
        <v>1305</v>
      </c>
      <c r="I373" s="16" t="s">
        <v>544</v>
      </c>
      <c r="J373" s="47">
        <f t="shared" si="4"/>
        <v>607.62</v>
      </c>
      <c r="K373" s="30" t="s">
        <v>544</v>
      </c>
      <c r="L373" s="30">
        <v>0</v>
      </c>
      <c r="M373" s="30">
        <v>607.62</v>
      </c>
      <c r="N373" s="31">
        <f t="shared" si="5"/>
        <v>607.62</v>
      </c>
      <c r="O373" s="30" t="s">
        <v>544</v>
      </c>
      <c r="P373" s="30">
        <v>0</v>
      </c>
      <c r="Q373" s="30">
        <v>607.62</v>
      </c>
      <c r="R373" s="30">
        <f t="shared" si="6"/>
        <v>0</v>
      </c>
      <c r="S373" s="32">
        <f t="shared" si="7"/>
        <v>1.34548272807795</v>
      </c>
      <c r="T373" s="16" t="s">
        <v>1306</v>
      </c>
      <c r="U373" s="16" t="s">
        <v>340</v>
      </c>
      <c r="V373" s="22">
        <v>45972</v>
      </c>
      <c r="W373" s="23">
        <v>45</v>
      </c>
    </row>
    <row r="374" ht="16.5" customHeight="1" spans="2:23">
      <c r="B374" s="15">
        <v>1</v>
      </c>
      <c r="C374" s="16" t="s">
        <v>571</v>
      </c>
      <c r="D374" s="16" t="s">
        <v>1388</v>
      </c>
      <c r="E374" s="16" t="s">
        <v>1310</v>
      </c>
      <c r="F374" s="16">
        <v>425.85</v>
      </c>
      <c r="G374" s="16" t="s">
        <v>1260</v>
      </c>
      <c r="H374" s="16" t="s">
        <v>1305</v>
      </c>
      <c r="I374" s="16" t="s">
        <v>544</v>
      </c>
      <c r="J374" s="47">
        <f t="shared" si="4"/>
        <v>692.49</v>
      </c>
      <c r="K374" s="30" t="s">
        <v>544</v>
      </c>
      <c r="L374" s="30">
        <v>0</v>
      </c>
      <c r="M374" s="30">
        <v>692.49</v>
      </c>
      <c r="N374" s="31">
        <f t="shared" si="5"/>
        <v>692.49</v>
      </c>
      <c r="O374" s="30" t="s">
        <v>544</v>
      </c>
      <c r="P374" s="30">
        <v>0</v>
      </c>
      <c r="Q374" s="30">
        <v>692.49</v>
      </c>
      <c r="R374" s="30">
        <f t="shared" si="6"/>
        <v>0</v>
      </c>
      <c r="S374" s="32">
        <f t="shared" si="7"/>
        <v>1.62613596336738</v>
      </c>
      <c r="T374" s="16" t="s">
        <v>1306</v>
      </c>
      <c r="U374" s="16" t="s">
        <v>340</v>
      </c>
      <c r="V374" s="22">
        <v>45972</v>
      </c>
      <c r="W374" s="23">
        <v>23</v>
      </c>
    </row>
    <row r="375" ht="16.5" customHeight="1" spans="2:23">
      <c r="B375" s="15">
        <v>1</v>
      </c>
      <c r="C375" s="16" t="s">
        <v>571</v>
      </c>
      <c r="D375" s="16" t="s">
        <v>1389</v>
      </c>
      <c r="E375" s="16" t="s">
        <v>1383</v>
      </c>
      <c r="F375" s="16">
        <v>203.34</v>
      </c>
      <c r="G375" s="16" t="s">
        <v>1260</v>
      </c>
      <c r="H375" s="16" t="s">
        <v>1305</v>
      </c>
      <c r="I375" s="16" t="s">
        <v>544</v>
      </c>
      <c r="J375" s="47">
        <f t="shared" si="4"/>
        <v>384.43</v>
      </c>
      <c r="K375" s="30" t="s">
        <v>544</v>
      </c>
      <c r="L375" s="30">
        <v>0</v>
      </c>
      <c r="M375" s="30">
        <v>384.43</v>
      </c>
      <c r="N375" s="31">
        <f t="shared" si="5"/>
        <v>384.43</v>
      </c>
      <c r="O375" s="30" t="s">
        <v>544</v>
      </c>
      <c r="P375" s="30">
        <v>0</v>
      </c>
      <c r="Q375" s="30">
        <v>384.43</v>
      </c>
      <c r="R375" s="30">
        <f t="shared" si="6"/>
        <v>0</v>
      </c>
      <c r="S375" s="32">
        <f t="shared" si="7"/>
        <v>1.89057735811941</v>
      </c>
      <c r="T375" s="16" t="s">
        <v>1306</v>
      </c>
      <c r="U375" s="16" t="s">
        <v>340</v>
      </c>
      <c r="V375" s="22">
        <v>45972</v>
      </c>
      <c r="W375" s="23">
        <v>23</v>
      </c>
    </row>
    <row r="376" ht="16.5" customHeight="1" spans="2:23">
      <c r="B376" s="15">
        <v>1</v>
      </c>
      <c r="C376" s="16" t="s">
        <v>571</v>
      </c>
      <c r="D376" s="16" t="s">
        <v>1390</v>
      </c>
      <c r="E376" s="16" t="s">
        <v>1391</v>
      </c>
      <c r="F376" s="16">
        <v>25.52</v>
      </c>
      <c r="G376" s="16" t="s">
        <v>1260</v>
      </c>
      <c r="H376" s="16" t="s">
        <v>1305</v>
      </c>
      <c r="I376" s="16" t="s">
        <v>544</v>
      </c>
      <c r="J376" s="47">
        <f t="shared" si="4"/>
        <v>25.52</v>
      </c>
      <c r="K376" s="30" t="s">
        <v>544</v>
      </c>
      <c r="L376" s="30">
        <v>0</v>
      </c>
      <c r="M376" s="30">
        <v>25.52</v>
      </c>
      <c r="N376" s="31">
        <f t="shared" si="5"/>
        <v>25.52</v>
      </c>
      <c r="O376" s="30" t="s">
        <v>544</v>
      </c>
      <c r="P376" s="30">
        <v>0</v>
      </c>
      <c r="Q376" s="30">
        <v>25.52</v>
      </c>
      <c r="R376" s="30">
        <f t="shared" si="6"/>
        <v>0</v>
      </c>
      <c r="S376" s="32">
        <f t="shared" si="7"/>
        <v>1</v>
      </c>
      <c r="T376" s="16" t="s">
        <v>1306</v>
      </c>
      <c r="U376" s="16" t="s">
        <v>340</v>
      </c>
      <c r="V376" s="22">
        <v>45972</v>
      </c>
      <c r="W376" s="23">
        <v>45</v>
      </c>
    </row>
    <row r="377" ht="16.5" customHeight="1" spans="2:23">
      <c r="B377" s="15">
        <v>1</v>
      </c>
      <c r="C377" s="48" t="s">
        <v>1392</v>
      </c>
      <c r="D377" s="48" t="s">
        <v>1393</v>
      </c>
      <c r="E377" s="48" t="s">
        <v>1394</v>
      </c>
      <c r="F377" s="48">
        <v>62.58</v>
      </c>
      <c r="G377" s="48" t="s">
        <v>1271</v>
      </c>
      <c r="H377" s="48" t="s">
        <v>1288</v>
      </c>
      <c r="I377" s="48">
        <v>6</v>
      </c>
      <c r="J377" s="47">
        <v>4304.16666666667</v>
      </c>
      <c r="K377" s="49">
        <v>24325</v>
      </c>
      <c r="L377" s="49">
        <v>4054.16666666667</v>
      </c>
      <c r="M377" s="49">
        <v>250</v>
      </c>
      <c r="N377" s="50">
        <v>2848.70833333333</v>
      </c>
      <c r="O377" s="49">
        <v>15811.25</v>
      </c>
      <c r="P377" s="49">
        <v>2635.20833333333</v>
      </c>
      <c r="Q377" s="49">
        <v>213.5</v>
      </c>
      <c r="R377" s="49">
        <v>-1455.45833333333</v>
      </c>
      <c r="S377" s="51">
        <v>45.5210663683818</v>
      </c>
      <c r="T377" s="48" t="s">
        <v>1395</v>
      </c>
      <c r="U377" s="48" t="s">
        <v>962</v>
      </c>
      <c r="V377" s="52">
        <v>46009</v>
      </c>
      <c r="W377" s="53">
        <v>6</v>
      </c>
    </row>
    <row r="378" ht="16.5" customHeight="1" spans="2:23">
      <c r="B378" s="15">
        <v>1</v>
      </c>
      <c r="C378" s="48" t="s">
        <v>1392</v>
      </c>
      <c r="D378" s="48" t="s">
        <v>1396</v>
      </c>
      <c r="E378" s="48" t="s">
        <v>1397</v>
      </c>
      <c r="F378" s="48">
        <v>22.9</v>
      </c>
      <c r="G378" s="48" t="s">
        <v>1271</v>
      </c>
      <c r="H378" s="48" t="s">
        <v>1288</v>
      </c>
      <c r="I378" s="48">
        <v>6</v>
      </c>
      <c r="J378" s="47">
        <v>2292.16666666667</v>
      </c>
      <c r="K378" s="49">
        <v>12943</v>
      </c>
      <c r="L378" s="49">
        <v>2157.16666666667</v>
      </c>
      <c r="M378" s="49">
        <v>135</v>
      </c>
      <c r="N378" s="50">
        <v>1677.33166666667</v>
      </c>
      <c r="O378" s="49">
        <v>9448.39</v>
      </c>
      <c r="P378" s="49">
        <v>1574.73166666667</v>
      </c>
      <c r="Q378" s="49">
        <v>102.6</v>
      </c>
      <c r="R378" s="49">
        <v>-614.835</v>
      </c>
      <c r="S378" s="51">
        <v>73.2459243085881</v>
      </c>
      <c r="T378" s="48" t="s">
        <v>1395</v>
      </c>
      <c r="U378" s="48" t="s">
        <v>962</v>
      </c>
      <c r="V378" s="52">
        <v>46009</v>
      </c>
      <c r="W378" s="53">
        <v>6</v>
      </c>
    </row>
    <row r="379" ht="16.5" customHeight="1" spans="2:23">
      <c r="B379" s="15">
        <v>1</v>
      </c>
      <c r="C379" s="48" t="s">
        <v>1392</v>
      </c>
      <c r="D379" s="48" t="s">
        <v>1398</v>
      </c>
      <c r="E379" s="48" t="s">
        <v>1399</v>
      </c>
      <c r="F379" s="48">
        <v>22.9</v>
      </c>
      <c r="G379" s="48" t="s">
        <v>1271</v>
      </c>
      <c r="H379" s="48" t="s">
        <v>1288</v>
      </c>
      <c r="I379" s="48">
        <v>6</v>
      </c>
      <c r="J379" s="47">
        <v>2292.16666666667</v>
      </c>
      <c r="K379" s="49">
        <v>12943</v>
      </c>
      <c r="L379" s="49">
        <v>2157.16666666667</v>
      </c>
      <c r="M379" s="49">
        <v>135</v>
      </c>
      <c r="N379" s="50">
        <v>1677.33166666667</v>
      </c>
      <c r="O379" s="49">
        <v>9448.39</v>
      </c>
      <c r="P379" s="49">
        <v>1574.73166666667</v>
      </c>
      <c r="Q379" s="49">
        <v>102.6</v>
      </c>
      <c r="R379" s="49">
        <v>-614.835</v>
      </c>
      <c r="S379" s="51">
        <v>73.2459243085881</v>
      </c>
      <c r="T379" s="48" t="s">
        <v>1395</v>
      </c>
      <c r="U379" s="48" t="s">
        <v>962</v>
      </c>
      <c r="V379" s="52">
        <v>46009</v>
      </c>
      <c r="W379" s="53">
        <v>6</v>
      </c>
    </row>
    <row r="380" ht="16.5" customHeight="1" spans="2:23">
      <c r="B380" s="15">
        <v>1</v>
      </c>
      <c r="C380" s="48" t="s">
        <v>1392</v>
      </c>
      <c r="D380" s="48" t="s">
        <v>1400</v>
      </c>
      <c r="E380" s="48" t="s">
        <v>593</v>
      </c>
      <c r="F380" s="48">
        <v>144.07</v>
      </c>
      <c r="G380" s="48" t="s">
        <v>1271</v>
      </c>
      <c r="H380" s="48" t="s">
        <v>1288</v>
      </c>
      <c r="I380" s="48">
        <v>6</v>
      </c>
      <c r="J380" s="47">
        <v>15343</v>
      </c>
      <c r="K380" s="49">
        <v>86238</v>
      </c>
      <c r="L380" s="49">
        <v>14373</v>
      </c>
      <c r="M380" s="49">
        <v>970</v>
      </c>
      <c r="N380" s="50">
        <v>12815.462</v>
      </c>
      <c r="O380" s="49">
        <v>71922.492</v>
      </c>
      <c r="P380" s="49">
        <v>11987.082</v>
      </c>
      <c r="Q380" s="49">
        <v>828.38</v>
      </c>
      <c r="R380" s="49">
        <v>-2527.538</v>
      </c>
      <c r="S380" s="51">
        <v>88.9530228361213</v>
      </c>
      <c r="T380" s="48" t="s">
        <v>1395</v>
      </c>
      <c r="U380" s="48" t="s">
        <v>962</v>
      </c>
      <c r="V380" s="52">
        <v>46009</v>
      </c>
      <c r="W380" s="53">
        <v>6</v>
      </c>
    </row>
    <row r="381" ht="16.5" customHeight="1" spans="2:23">
      <c r="B381" s="15">
        <v>1</v>
      </c>
      <c r="C381" s="48" t="s">
        <v>1392</v>
      </c>
      <c r="D381" s="48" t="s">
        <v>1401</v>
      </c>
      <c r="E381" s="48" t="s">
        <v>1402</v>
      </c>
      <c r="F381" s="48">
        <v>6.77</v>
      </c>
      <c r="G381" s="48" t="s">
        <v>1271</v>
      </c>
      <c r="H381" s="48" t="s">
        <v>1288</v>
      </c>
      <c r="I381" s="48">
        <v>6</v>
      </c>
      <c r="J381" s="47">
        <v>254.666666666667</v>
      </c>
      <c r="K381" s="49">
        <v>1438</v>
      </c>
      <c r="L381" s="49">
        <v>239.666666666667</v>
      </c>
      <c r="M381" s="49">
        <v>15</v>
      </c>
      <c r="N381" s="50">
        <v>174.373333333333</v>
      </c>
      <c r="O381" s="49">
        <v>977.84</v>
      </c>
      <c r="P381" s="49">
        <v>162.973333333333</v>
      </c>
      <c r="Q381" s="49">
        <v>11.4</v>
      </c>
      <c r="R381" s="49">
        <v>-80.2933333333333</v>
      </c>
      <c r="S381" s="51">
        <v>25.7567700640079</v>
      </c>
      <c r="T381" s="48" t="s">
        <v>1395</v>
      </c>
      <c r="U381" s="48" t="s">
        <v>962</v>
      </c>
      <c r="V381" s="52">
        <v>46009</v>
      </c>
      <c r="W381" s="53">
        <v>6</v>
      </c>
    </row>
    <row r="382" ht="16.5" customHeight="1" spans="2:23">
      <c r="B382" s="15">
        <v>1</v>
      </c>
      <c r="C382" s="48" t="s">
        <v>1392</v>
      </c>
      <c r="D382" s="48" t="s">
        <v>1403</v>
      </c>
      <c r="E382" s="48" t="s">
        <v>1404</v>
      </c>
      <c r="F382" s="48">
        <v>6.77</v>
      </c>
      <c r="G382" s="48" t="s">
        <v>1271</v>
      </c>
      <c r="H382" s="48" t="s">
        <v>1288</v>
      </c>
      <c r="I382" s="48">
        <v>6</v>
      </c>
      <c r="J382" s="47">
        <v>254.666666666667</v>
      </c>
      <c r="K382" s="49">
        <v>1438</v>
      </c>
      <c r="L382" s="49">
        <v>239.666666666667</v>
      </c>
      <c r="M382" s="49">
        <v>15</v>
      </c>
      <c r="N382" s="50">
        <v>174.373333333333</v>
      </c>
      <c r="O382" s="49">
        <v>977.84</v>
      </c>
      <c r="P382" s="49">
        <v>162.973333333333</v>
      </c>
      <c r="Q382" s="49">
        <v>11.4</v>
      </c>
      <c r="R382" s="49">
        <v>-80.2933333333333</v>
      </c>
      <c r="S382" s="51">
        <v>25.7567700640079</v>
      </c>
      <c r="T382" s="48" t="s">
        <v>1395</v>
      </c>
      <c r="U382" s="48" t="s">
        <v>962</v>
      </c>
      <c r="V382" s="52">
        <v>46009</v>
      </c>
      <c r="W382" s="53">
        <v>6</v>
      </c>
    </row>
    <row r="383" ht="16.5" customHeight="1" spans="2:23">
      <c r="B383" s="15">
        <v>1</v>
      </c>
      <c r="C383" s="48" t="s">
        <v>1392</v>
      </c>
      <c r="D383" s="48" t="s">
        <v>1405</v>
      </c>
      <c r="E383" s="48" t="s">
        <v>1406</v>
      </c>
      <c r="F383" s="48">
        <v>3.83</v>
      </c>
      <c r="G383" s="48" t="s">
        <v>1271</v>
      </c>
      <c r="H383" s="48" t="s">
        <v>1288</v>
      </c>
      <c r="I383" s="48">
        <v>14</v>
      </c>
      <c r="J383" s="47">
        <v>196.142857142857</v>
      </c>
      <c r="K383" s="49">
        <v>2396</v>
      </c>
      <c r="L383" s="49">
        <v>171.142857142857</v>
      </c>
      <c r="M383" s="49">
        <v>25</v>
      </c>
      <c r="N383" s="50">
        <v>163.190857142857</v>
      </c>
      <c r="O383" s="49">
        <v>1993.472</v>
      </c>
      <c r="P383" s="49">
        <v>142.390857142857</v>
      </c>
      <c r="Q383" s="49">
        <v>20.8</v>
      </c>
      <c r="R383" s="49">
        <v>-32.952</v>
      </c>
      <c r="S383" s="51">
        <v>42.6085788884744</v>
      </c>
      <c r="T383" s="48" t="s">
        <v>1395</v>
      </c>
      <c r="U383" s="48" t="s">
        <v>962</v>
      </c>
      <c r="V383" s="52">
        <v>46009</v>
      </c>
      <c r="W383" s="53">
        <v>14</v>
      </c>
    </row>
    <row r="384" ht="16.5" customHeight="1" spans="2:23">
      <c r="B384" s="15">
        <v>1</v>
      </c>
      <c r="C384" s="48" t="s">
        <v>1392</v>
      </c>
      <c r="D384" s="48" t="s">
        <v>1407</v>
      </c>
      <c r="E384" s="48" t="s">
        <v>1408</v>
      </c>
      <c r="F384" s="48">
        <v>13.93</v>
      </c>
      <c r="G384" s="48" t="s">
        <v>1271</v>
      </c>
      <c r="H384" s="48" t="s">
        <v>1288</v>
      </c>
      <c r="I384" s="48">
        <v>7</v>
      </c>
      <c r="J384" s="47">
        <v>276.857142857143</v>
      </c>
      <c r="K384" s="49">
        <v>1798</v>
      </c>
      <c r="L384" s="49">
        <v>256.857142857143</v>
      </c>
      <c r="M384" s="49">
        <v>20</v>
      </c>
      <c r="N384" s="50">
        <v>230.345142857143</v>
      </c>
      <c r="O384" s="49">
        <v>1495.936</v>
      </c>
      <c r="P384" s="49">
        <v>213.705142857143</v>
      </c>
      <c r="Q384" s="49">
        <v>16.64</v>
      </c>
      <c r="R384" s="49">
        <v>-46.512</v>
      </c>
      <c r="S384" s="51">
        <v>16.5359040098451</v>
      </c>
      <c r="T384" s="48" t="s">
        <v>1395</v>
      </c>
      <c r="U384" s="48" t="s">
        <v>962</v>
      </c>
      <c r="V384" s="52">
        <v>46009</v>
      </c>
      <c r="W384" s="53">
        <v>7</v>
      </c>
    </row>
    <row r="385" ht="16.5" customHeight="1" spans="2:23">
      <c r="B385" s="15">
        <v>1</v>
      </c>
      <c r="C385" s="48" t="s">
        <v>1392</v>
      </c>
      <c r="D385" s="48" t="s">
        <v>1409</v>
      </c>
      <c r="E385" s="48" t="s">
        <v>1410</v>
      </c>
      <c r="F385" s="48">
        <v>13.93</v>
      </c>
      <c r="G385" s="48" t="s">
        <v>1271</v>
      </c>
      <c r="H385" s="48" t="s">
        <v>1288</v>
      </c>
      <c r="I385" s="48">
        <v>7</v>
      </c>
      <c r="J385" s="47">
        <v>276.857142857143</v>
      </c>
      <c r="K385" s="49">
        <v>1798</v>
      </c>
      <c r="L385" s="49">
        <v>256.857142857143</v>
      </c>
      <c r="M385" s="49">
        <v>20</v>
      </c>
      <c r="N385" s="50">
        <v>230.345142857143</v>
      </c>
      <c r="O385" s="49">
        <v>1495.936</v>
      </c>
      <c r="P385" s="49">
        <v>213.705142857143</v>
      </c>
      <c r="Q385" s="49">
        <v>16.64</v>
      </c>
      <c r="R385" s="49">
        <v>-46.512</v>
      </c>
      <c r="S385" s="51">
        <v>16.5359040098451</v>
      </c>
      <c r="T385" s="48" t="s">
        <v>1395</v>
      </c>
      <c r="U385" s="48" t="s">
        <v>962</v>
      </c>
      <c r="V385" s="52">
        <v>46009</v>
      </c>
      <c r="W385" s="53">
        <v>7</v>
      </c>
    </row>
    <row r="386" ht="16.5" customHeight="1" spans="2:23">
      <c r="B386" s="15">
        <v>1</v>
      </c>
      <c r="C386" s="48" t="s">
        <v>1392</v>
      </c>
      <c r="D386" s="48" t="s">
        <v>1411</v>
      </c>
      <c r="E386" s="48" t="s">
        <v>396</v>
      </c>
      <c r="F386" s="48">
        <v>171.73</v>
      </c>
      <c r="G386" s="48" t="s">
        <v>1271</v>
      </c>
      <c r="H386" s="48" t="s">
        <v>1288</v>
      </c>
      <c r="I386" s="48">
        <v>7</v>
      </c>
      <c r="J386" s="47">
        <v>22762.4285714286</v>
      </c>
      <c r="K386" s="49">
        <v>148116</v>
      </c>
      <c r="L386" s="49">
        <v>21159.4285714286</v>
      </c>
      <c r="M386" s="49">
        <v>1603</v>
      </c>
      <c r="N386" s="50">
        <v>19638.5142857143</v>
      </c>
      <c r="O386" s="49">
        <v>128492.8</v>
      </c>
      <c r="P386" s="49">
        <v>18356.1142857143</v>
      </c>
      <c r="Q386" s="49">
        <v>1282.4</v>
      </c>
      <c r="R386" s="49">
        <v>-3123.91428571428</v>
      </c>
      <c r="S386" s="51">
        <v>114.356922411427</v>
      </c>
      <c r="T386" s="48" t="s">
        <v>1395</v>
      </c>
      <c r="U386" s="48" t="s">
        <v>962</v>
      </c>
      <c r="V386" s="52">
        <v>46009</v>
      </c>
      <c r="W386" s="53">
        <v>7</v>
      </c>
    </row>
    <row r="387" ht="16.5" customHeight="1" spans="2:23">
      <c r="B387" s="15">
        <v>1</v>
      </c>
      <c r="C387" s="48" t="s">
        <v>1392</v>
      </c>
      <c r="D387" s="48" t="s">
        <v>1412</v>
      </c>
      <c r="E387" s="48" t="s">
        <v>1413</v>
      </c>
      <c r="F387" s="48">
        <v>21.9170895118941</v>
      </c>
      <c r="G387" s="48" t="s">
        <v>1271</v>
      </c>
      <c r="H387" s="48" t="s">
        <v>1288</v>
      </c>
      <c r="I387" s="48">
        <v>6</v>
      </c>
      <c r="J387" s="47">
        <v>5742.83333333333</v>
      </c>
      <c r="K387" s="49">
        <v>32357</v>
      </c>
      <c r="L387" s="49">
        <v>5392.83333333333</v>
      </c>
      <c r="M387" s="49">
        <v>350</v>
      </c>
      <c r="N387" s="50">
        <v>3367.6287</v>
      </c>
      <c r="O387" s="49">
        <v>18954.7722</v>
      </c>
      <c r="P387" s="49">
        <v>3159.1287</v>
      </c>
      <c r="Q387" s="49">
        <v>208.5</v>
      </c>
      <c r="R387" s="49">
        <v>-2375.20463333333</v>
      </c>
      <c r="S387" s="51">
        <v>153.653097879279</v>
      </c>
      <c r="T387" s="48" t="s">
        <v>1395</v>
      </c>
      <c r="U387" s="48" t="s">
        <v>962</v>
      </c>
      <c r="V387" s="52">
        <v>46009</v>
      </c>
      <c r="W387" s="53">
        <v>6</v>
      </c>
    </row>
    <row r="388" ht="16.5" customHeight="1" spans="2:23">
      <c r="B388" s="15">
        <v>1</v>
      </c>
      <c r="C388" s="48" t="s">
        <v>1392</v>
      </c>
      <c r="D388" s="48" t="s">
        <v>1414</v>
      </c>
      <c r="E388" s="48" t="s">
        <v>1415</v>
      </c>
      <c r="F388" s="48">
        <v>21.9170895118941</v>
      </c>
      <c r="G388" s="48" t="s">
        <v>1271</v>
      </c>
      <c r="H388" s="48" t="s">
        <v>1288</v>
      </c>
      <c r="I388" s="48">
        <v>6</v>
      </c>
      <c r="J388" s="47">
        <v>5742.83333333333</v>
      </c>
      <c r="K388" s="49">
        <v>32357</v>
      </c>
      <c r="L388" s="49">
        <v>5392.83333333333</v>
      </c>
      <c r="M388" s="49">
        <v>350</v>
      </c>
      <c r="N388" s="50">
        <v>3367.6287</v>
      </c>
      <c r="O388" s="49">
        <v>18954.7722</v>
      </c>
      <c r="P388" s="49">
        <v>3159.1287</v>
      </c>
      <c r="Q388" s="49">
        <v>208.5</v>
      </c>
      <c r="R388" s="49">
        <v>-2375.20463333333</v>
      </c>
      <c r="S388" s="51">
        <v>153.653097879279</v>
      </c>
      <c r="T388" s="48" t="s">
        <v>1395</v>
      </c>
      <c r="U388" s="48" t="s">
        <v>962</v>
      </c>
      <c r="V388" s="52">
        <v>46009</v>
      </c>
      <c r="W388" s="53">
        <v>6</v>
      </c>
    </row>
    <row r="389" ht="16.5" customHeight="1" spans="2:23">
      <c r="B389" s="15">
        <v>1</v>
      </c>
      <c r="C389" s="48" t="s">
        <v>1392</v>
      </c>
      <c r="D389" s="48" t="s">
        <v>1416</v>
      </c>
      <c r="E389" s="48" t="s">
        <v>1417</v>
      </c>
      <c r="F389" s="48">
        <v>20.4877821645257</v>
      </c>
      <c r="G389" s="48" t="s">
        <v>1271</v>
      </c>
      <c r="H389" s="48" t="s">
        <v>1288</v>
      </c>
      <c r="I389" s="48">
        <v>6</v>
      </c>
      <c r="J389" s="47">
        <v>3645.5</v>
      </c>
      <c r="K389" s="49">
        <v>20373</v>
      </c>
      <c r="L389" s="49">
        <v>3395.5</v>
      </c>
      <c r="M389" s="49">
        <v>250</v>
      </c>
      <c r="N389" s="50">
        <v>2161.31333333333</v>
      </c>
      <c r="O389" s="49">
        <v>11887.88</v>
      </c>
      <c r="P389" s="49">
        <v>1981.31333333333</v>
      </c>
      <c r="Q389" s="49">
        <v>180</v>
      </c>
      <c r="R389" s="49">
        <v>-1484.18666666667</v>
      </c>
      <c r="S389" s="51">
        <v>105.492791556307</v>
      </c>
      <c r="T389" s="48" t="s">
        <v>1395</v>
      </c>
      <c r="U389" s="48" t="s">
        <v>962</v>
      </c>
      <c r="V389" s="52">
        <v>46009</v>
      </c>
      <c r="W389" s="53">
        <v>6</v>
      </c>
    </row>
    <row r="390" ht="16.5" customHeight="1" spans="2:23">
      <c r="B390" s="15">
        <v>1</v>
      </c>
      <c r="C390" s="48" t="s">
        <v>1392</v>
      </c>
      <c r="D390" s="48" t="s">
        <v>1418</v>
      </c>
      <c r="E390" s="48" t="s">
        <v>1419</v>
      </c>
      <c r="F390" s="48">
        <v>20.4877821645257</v>
      </c>
      <c r="G390" s="48" t="s">
        <v>1271</v>
      </c>
      <c r="H390" s="48" t="s">
        <v>1288</v>
      </c>
      <c r="I390" s="48">
        <v>6</v>
      </c>
      <c r="J390" s="47">
        <v>3645.5</v>
      </c>
      <c r="K390" s="49">
        <v>20373</v>
      </c>
      <c r="L390" s="49">
        <v>3395.5</v>
      </c>
      <c r="M390" s="49">
        <v>250</v>
      </c>
      <c r="N390" s="50">
        <v>2161.31333333333</v>
      </c>
      <c r="O390" s="49">
        <v>11887.88</v>
      </c>
      <c r="P390" s="49">
        <v>1981.31333333333</v>
      </c>
      <c r="Q390" s="49">
        <v>180</v>
      </c>
      <c r="R390" s="49">
        <v>-1484.18666666667</v>
      </c>
      <c r="S390" s="51">
        <v>105.492791556307</v>
      </c>
      <c r="T390" s="48" t="s">
        <v>1395</v>
      </c>
      <c r="U390" s="48" t="s">
        <v>962</v>
      </c>
      <c r="V390" s="52">
        <v>46009</v>
      </c>
      <c r="W390" s="53">
        <v>6</v>
      </c>
    </row>
    <row r="391" ht="16.5" customHeight="1" spans="2:23">
      <c r="B391" s="15">
        <v>1</v>
      </c>
      <c r="C391" s="48" t="s">
        <v>1392</v>
      </c>
      <c r="D391" s="48" t="s">
        <v>1420</v>
      </c>
      <c r="E391" s="48" t="s">
        <v>1421</v>
      </c>
      <c r="F391" s="48">
        <v>42.1952752973978</v>
      </c>
      <c r="G391" s="48" t="s">
        <v>1271</v>
      </c>
      <c r="H391" s="48" t="s">
        <v>1288</v>
      </c>
      <c r="I391" s="48">
        <v>6</v>
      </c>
      <c r="J391" s="47">
        <v>6804.83333333333</v>
      </c>
      <c r="K391" s="49">
        <v>38309</v>
      </c>
      <c r="L391" s="49">
        <v>6384.83333333333</v>
      </c>
      <c r="M391" s="49">
        <v>420</v>
      </c>
      <c r="N391" s="50">
        <v>4190.48166666667</v>
      </c>
      <c r="O391" s="49">
        <v>22982.89</v>
      </c>
      <c r="P391" s="49">
        <v>3830.48166666667</v>
      </c>
      <c r="Q391" s="49">
        <v>360</v>
      </c>
      <c r="R391" s="49">
        <v>-2614.35166666667</v>
      </c>
      <c r="S391" s="51">
        <v>99.31163233636</v>
      </c>
      <c r="T391" s="48" t="s">
        <v>1395</v>
      </c>
      <c r="U391" s="48" t="s">
        <v>962</v>
      </c>
      <c r="V391" s="52">
        <v>46009</v>
      </c>
      <c r="W391" s="53">
        <v>6</v>
      </c>
    </row>
    <row r="392" ht="16.5" customHeight="1" spans="2:23">
      <c r="B392" s="15">
        <v>1</v>
      </c>
      <c r="C392" s="48" t="s">
        <v>1392</v>
      </c>
      <c r="D392" s="48" t="s">
        <v>1422</v>
      </c>
      <c r="E392" s="48" t="s">
        <v>1423</v>
      </c>
      <c r="F392" s="48">
        <v>42.1952752973978</v>
      </c>
      <c r="G392" s="48" t="s">
        <v>1271</v>
      </c>
      <c r="H392" s="48" t="s">
        <v>1288</v>
      </c>
      <c r="I392" s="48">
        <v>6</v>
      </c>
      <c r="J392" s="47">
        <v>6804.83333333333</v>
      </c>
      <c r="K392" s="49">
        <v>38309</v>
      </c>
      <c r="L392" s="49">
        <v>6384.83333333333</v>
      </c>
      <c r="M392" s="49">
        <v>420</v>
      </c>
      <c r="N392" s="50">
        <v>4190.48166666667</v>
      </c>
      <c r="O392" s="49">
        <v>22982.89</v>
      </c>
      <c r="P392" s="49">
        <v>3830.48166666667</v>
      </c>
      <c r="Q392" s="49">
        <v>360</v>
      </c>
      <c r="R392" s="49">
        <v>-2614.35166666667</v>
      </c>
      <c r="S392" s="51">
        <v>99.31163233636</v>
      </c>
      <c r="T392" s="48" t="s">
        <v>1395</v>
      </c>
      <c r="U392" s="48" t="s">
        <v>962</v>
      </c>
      <c r="V392" s="52">
        <v>46009</v>
      </c>
      <c r="W392" s="53">
        <v>6</v>
      </c>
    </row>
    <row r="393" ht="16.5" customHeight="1" spans="2:23">
      <c r="B393" s="15">
        <v>1</v>
      </c>
      <c r="C393" s="48" t="s">
        <v>1392</v>
      </c>
      <c r="D393" s="48" t="s">
        <v>1424</v>
      </c>
      <c r="E393" s="48" t="s">
        <v>1425</v>
      </c>
      <c r="F393" s="48">
        <v>44.7981864</v>
      </c>
      <c r="G393" s="48" t="s">
        <v>1271</v>
      </c>
      <c r="H393" s="48" t="s">
        <v>1288</v>
      </c>
      <c r="I393" s="48">
        <v>7</v>
      </c>
      <c r="J393" s="47">
        <v>5064.28571428571</v>
      </c>
      <c r="K393" s="49">
        <v>33000</v>
      </c>
      <c r="L393" s="49">
        <v>4714.28571428571</v>
      </c>
      <c r="M393" s="49">
        <v>350</v>
      </c>
      <c r="N393" s="50">
        <v>3139.85714285714</v>
      </c>
      <c r="O393" s="49">
        <v>20460</v>
      </c>
      <c r="P393" s="49">
        <v>2922.85714285714</v>
      </c>
      <c r="Q393" s="49">
        <v>217</v>
      </c>
      <c r="R393" s="49">
        <v>-1924.42857142857</v>
      </c>
      <c r="S393" s="51">
        <v>70.0889342890261</v>
      </c>
      <c r="T393" s="48" t="s">
        <v>1395</v>
      </c>
      <c r="U393" s="48" t="s">
        <v>962</v>
      </c>
      <c r="V393" s="52">
        <v>46009</v>
      </c>
      <c r="W393" s="53">
        <v>7</v>
      </c>
    </row>
    <row r="394" ht="16.5" customHeight="1" spans="2:23">
      <c r="B394" s="15">
        <v>1</v>
      </c>
      <c r="C394" s="48" t="s">
        <v>1392</v>
      </c>
      <c r="D394" s="48" t="s">
        <v>1426</v>
      </c>
      <c r="E394" s="48" t="s">
        <v>1427</v>
      </c>
      <c r="F394" s="48">
        <v>3</v>
      </c>
      <c r="G394" s="48" t="s">
        <v>1271</v>
      </c>
      <c r="H394" s="48" t="s">
        <v>1288</v>
      </c>
      <c r="I394" s="48">
        <v>6</v>
      </c>
      <c r="J394" s="47">
        <v>449.5</v>
      </c>
      <c r="K394" s="49">
        <v>2517</v>
      </c>
      <c r="L394" s="49">
        <v>419.5</v>
      </c>
      <c r="M394" s="49">
        <v>30</v>
      </c>
      <c r="N394" s="50">
        <v>397.6</v>
      </c>
      <c r="O394" s="49">
        <v>2223.6</v>
      </c>
      <c r="P394" s="49">
        <v>370.6</v>
      </c>
      <c r="Q394" s="49">
        <v>27</v>
      </c>
      <c r="R394" s="49">
        <v>-51.9</v>
      </c>
      <c r="S394" s="51">
        <v>132.533333333333</v>
      </c>
      <c r="T394" s="48" t="s">
        <v>1395</v>
      </c>
      <c r="U394" s="48" t="s">
        <v>962</v>
      </c>
      <c r="V394" s="52">
        <v>46009</v>
      </c>
      <c r="W394" s="53">
        <v>6</v>
      </c>
    </row>
    <row r="395" ht="16.5" customHeight="1" spans="2:23">
      <c r="B395" s="15">
        <v>1</v>
      </c>
      <c r="C395" s="48" t="s">
        <v>1392</v>
      </c>
      <c r="D395" s="48" t="s">
        <v>1428</v>
      </c>
      <c r="E395" s="48" t="s">
        <v>1429</v>
      </c>
      <c r="F395" s="48">
        <v>3</v>
      </c>
      <c r="G395" s="48" t="s">
        <v>1271</v>
      </c>
      <c r="H395" s="48" t="s">
        <v>1288</v>
      </c>
      <c r="I395" s="48">
        <v>6</v>
      </c>
      <c r="J395" s="47">
        <v>449.5</v>
      </c>
      <c r="K395" s="49">
        <v>2517</v>
      </c>
      <c r="L395" s="49">
        <v>419.5</v>
      </c>
      <c r="M395" s="49">
        <v>30</v>
      </c>
      <c r="N395" s="50">
        <v>397.6</v>
      </c>
      <c r="O395" s="49">
        <v>2223.6</v>
      </c>
      <c r="P395" s="49">
        <v>370.6</v>
      </c>
      <c r="Q395" s="49">
        <v>27</v>
      </c>
      <c r="R395" s="49">
        <v>-51.9</v>
      </c>
      <c r="S395" s="51">
        <v>132.533333333333</v>
      </c>
      <c r="T395" s="48" t="s">
        <v>1395</v>
      </c>
      <c r="U395" s="48" t="s">
        <v>962</v>
      </c>
      <c r="V395" s="52">
        <v>46009</v>
      </c>
      <c r="W395" s="53">
        <v>6</v>
      </c>
    </row>
    <row r="396" ht="16.5" customHeight="1" spans="2:23">
      <c r="B396" s="15">
        <v>1</v>
      </c>
      <c r="C396" s="54" t="s">
        <v>1430</v>
      </c>
      <c r="D396" s="54" t="s">
        <v>1207</v>
      </c>
      <c r="E396" s="54" t="s">
        <v>396</v>
      </c>
      <c r="F396" s="38">
        <v>394.85</v>
      </c>
      <c r="G396" s="35" t="s">
        <v>1271</v>
      </c>
      <c r="H396" s="54" t="s">
        <v>1288</v>
      </c>
      <c r="I396" s="16">
        <v>44</v>
      </c>
      <c r="J396" s="29">
        <v>11977.4545454545</v>
      </c>
      <c r="K396" s="55">
        <v>160488</v>
      </c>
      <c r="L396" s="55">
        <v>3647.45454545455</v>
      </c>
      <c r="M396" s="55">
        <v>8330</v>
      </c>
      <c r="N396" s="56">
        <v>8867.39571455303</v>
      </c>
      <c r="O396" s="55">
        <v>112832.078107</v>
      </c>
      <c r="P396" s="55">
        <v>2564.36541152273</v>
      </c>
      <c r="Q396" s="55">
        <v>6303.0303030303</v>
      </c>
      <c r="R396" s="55">
        <v>-3110.05883090152</v>
      </c>
      <c r="S396" s="57">
        <v>22.4576312892314</v>
      </c>
      <c r="T396" s="54" t="s">
        <v>1326</v>
      </c>
      <c r="U396" s="54" t="s">
        <v>272</v>
      </c>
      <c r="V396" s="22">
        <v>46003</v>
      </c>
      <c r="W396" s="16">
        <v>44</v>
      </c>
    </row>
    <row r="397" ht="16.5" customHeight="1" spans="2:23">
      <c r="B397" s="15">
        <v>1</v>
      </c>
      <c r="C397" s="54" t="s">
        <v>1430</v>
      </c>
      <c r="D397" s="54" t="s">
        <v>1431</v>
      </c>
      <c r="E397" s="58" t="s">
        <v>1432</v>
      </c>
      <c r="F397" s="38">
        <v>63.0975620761165</v>
      </c>
      <c r="G397" s="35" t="s">
        <v>1271</v>
      </c>
      <c r="H397" s="54" t="s">
        <v>1288</v>
      </c>
      <c r="I397" s="16">
        <v>44</v>
      </c>
      <c r="J397" s="29">
        <v>1836.63636363636</v>
      </c>
      <c r="K397" s="55">
        <v>21060</v>
      </c>
      <c r="L397" s="55">
        <v>478.636363636364</v>
      </c>
      <c r="M397" s="55">
        <v>1358</v>
      </c>
      <c r="N397" s="56">
        <v>1761.65318181818</v>
      </c>
      <c r="O397" s="55">
        <v>18782.64</v>
      </c>
      <c r="P397" s="55">
        <v>426.878181818182</v>
      </c>
      <c r="Q397" s="55">
        <v>1334.775</v>
      </c>
      <c r="R397" s="55">
        <v>-74.9831818181815</v>
      </c>
      <c r="S397" s="57">
        <v>27.9195126381119</v>
      </c>
      <c r="T397" s="54" t="s">
        <v>1326</v>
      </c>
      <c r="U397" s="54" t="s">
        <v>272</v>
      </c>
      <c r="V397" s="22">
        <v>46003</v>
      </c>
      <c r="W397" s="16">
        <v>44</v>
      </c>
    </row>
    <row r="398" ht="16.5" customHeight="1" spans="2:23">
      <c r="B398" s="15">
        <v>1</v>
      </c>
      <c r="C398" s="54" t="s">
        <v>1430</v>
      </c>
      <c r="D398" s="54" t="s">
        <v>1433</v>
      </c>
      <c r="E398" s="58" t="s">
        <v>1434</v>
      </c>
      <c r="F398" s="38">
        <v>2.1078058843812</v>
      </c>
      <c r="G398" s="35" t="s">
        <v>1271</v>
      </c>
      <c r="H398" s="54" t="s">
        <v>1288</v>
      </c>
      <c r="I398" s="16">
        <v>44</v>
      </c>
      <c r="J398" s="29">
        <v>137.545454545455</v>
      </c>
      <c r="K398" s="55">
        <v>860</v>
      </c>
      <c r="L398" s="55">
        <v>19.5454545454545</v>
      </c>
      <c r="M398" s="55">
        <v>118</v>
      </c>
      <c r="N398" s="56">
        <v>42.1347025272727</v>
      </c>
      <c r="O398" s="55">
        <v>502.5769112</v>
      </c>
      <c r="P398" s="55">
        <v>11.4222025272727</v>
      </c>
      <c r="Q398" s="55">
        <v>30.7125</v>
      </c>
      <c r="R398" s="55">
        <v>-95.4107520181818</v>
      </c>
      <c r="S398" s="57">
        <v>19.9898400699467</v>
      </c>
      <c r="T398" s="54" t="s">
        <v>1326</v>
      </c>
      <c r="U398" s="54" t="s">
        <v>272</v>
      </c>
      <c r="V398" s="22">
        <v>46003</v>
      </c>
      <c r="W398" s="16">
        <v>44</v>
      </c>
    </row>
    <row r="399" ht="16.5" customHeight="1" spans="2:23">
      <c r="B399" s="15">
        <v>1</v>
      </c>
      <c r="C399" s="54" t="s">
        <v>1430</v>
      </c>
      <c r="D399" s="54" t="s">
        <v>1435</v>
      </c>
      <c r="E399" s="58" t="s">
        <v>1436</v>
      </c>
      <c r="F399" s="38">
        <v>2.1078058843812</v>
      </c>
      <c r="G399" s="35" t="s">
        <v>1271</v>
      </c>
      <c r="H399" s="54" t="s">
        <v>1288</v>
      </c>
      <c r="I399" s="16">
        <v>44</v>
      </c>
      <c r="J399" s="29">
        <v>137.545454545455</v>
      </c>
      <c r="K399" s="55">
        <v>860</v>
      </c>
      <c r="L399" s="55">
        <v>19.5454545454545</v>
      </c>
      <c r="M399" s="55">
        <v>118</v>
      </c>
      <c r="N399" s="56">
        <v>42.1347025272727</v>
      </c>
      <c r="O399" s="55">
        <v>502.5769112</v>
      </c>
      <c r="P399" s="55">
        <v>11.4222025272727</v>
      </c>
      <c r="Q399" s="55">
        <v>30.7125</v>
      </c>
      <c r="R399" s="55">
        <v>-95.4107520181818</v>
      </c>
      <c r="S399" s="57">
        <v>19.9898400699467</v>
      </c>
      <c r="T399" s="54" t="s">
        <v>1326</v>
      </c>
      <c r="U399" s="54" t="s">
        <v>272</v>
      </c>
      <c r="V399" s="22">
        <v>46003</v>
      </c>
      <c r="W399" s="16">
        <v>44</v>
      </c>
    </row>
    <row r="400" ht="16.5" customHeight="1" spans="2:23">
      <c r="B400" s="15">
        <v>1</v>
      </c>
      <c r="C400" s="54" t="s">
        <v>1430</v>
      </c>
      <c r="D400" s="54" t="s">
        <v>1437</v>
      </c>
      <c r="E400" s="58" t="s">
        <v>593</v>
      </c>
      <c r="F400" s="38">
        <v>314.03</v>
      </c>
      <c r="G400" s="35" t="s">
        <v>1271</v>
      </c>
      <c r="H400" s="54" t="s">
        <v>1288</v>
      </c>
      <c r="I400" s="16">
        <v>44</v>
      </c>
      <c r="J400" s="29">
        <v>8539.04545454545</v>
      </c>
      <c r="K400" s="55">
        <v>151186</v>
      </c>
      <c r="L400" s="55">
        <v>3436.04545454545</v>
      </c>
      <c r="M400" s="55">
        <v>5103</v>
      </c>
      <c r="N400" s="56">
        <v>6626.4617227803</v>
      </c>
      <c r="O400" s="55">
        <v>140785.982469</v>
      </c>
      <c r="P400" s="55">
        <v>3199.68141975</v>
      </c>
      <c r="Q400" s="55">
        <v>3426.7803030303</v>
      </c>
      <c r="R400" s="55">
        <v>-1912.58373176515</v>
      </c>
      <c r="S400" s="57">
        <v>21.1013652287371</v>
      </c>
      <c r="T400" s="54" t="s">
        <v>1326</v>
      </c>
      <c r="U400" s="54" t="s">
        <v>272</v>
      </c>
      <c r="V400" s="22">
        <v>46003</v>
      </c>
      <c r="W400" s="16">
        <v>44</v>
      </c>
    </row>
    <row r="401" ht="16.5" customHeight="1" spans="2:23">
      <c r="B401" s="15">
        <v>1</v>
      </c>
      <c r="C401" s="54" t="s">
        <v>1430</v>
      </c>
      <c r="D401" s="54" t="s">
        <v>1438</v>
      </c>
      <c r="E401" s="58" t="s">
        <v>1439</v>
      </c>
      <c r="F401" s="38">
        <v>10.7003395036857</v>
      </c>
      <c r="G401" s="35" t="s">
        <v>1271</v>
      </c>
      <c r="H401" s="54" t="s">
        <v>1288</v>
      </c>
      <c r="I401" s="16">
        <v>44</v>
      </c>
      <c r="J401" s="29">
        <v>319.545454545455</v>
      </c>
      <c r="K401" s="55">
        <v>4600</v>
      </c>
      <c r="L401" s="55">
        <v>104.545454545455</v>
      </c>
      <c r="M401" s="55">
        <v>215</v>
      </c>
      <c r="N401" s="56">
        <v>249.079358418182</v>
      </c>
      <c r="O401" s="55">
        <v>3022.9917704</v>
      </c>
      <c r="P401" s="55">
        <v>68.7043584181818</v>
      </c>
      <c r="Q401" s="55">
        <v>180.375</v>
      </c>
      <c r="R401" s="55">
        <v>-70.4660961272727</v>
      </c>
      <c r="S401" s="57">
        <v>23.2777061262764</v>
      </c>
      <c r="T401" s="54" t="s">
        <v>1326</v>
      </c>
      <c r="U401" s="54" t="s">
        <v>272</v>
      </c>
      <c r="V401" s="22">
        <v>46003</v>
      </c>
      <c r="W401" s="16">
        <v>44</v>
      </c>
    </row>
    <row r="402" ht="16.5" customHeight="1" spans="2:23">
      <c r="B402" s="15">
        <v>1</v>
      </c>
      <c r="C402" s="54" t="s">
        <v>1430</v>
      </c>
      <c r="D402" s="54" t="s">
        <v>1440</v>
      </c>
      <c r="E402" s="58" t="s">
        <v>1441</v>
      </c>
      <c r="F402" s="38">
        <v>10.7003395036857</v>
      </c>
      <c r="G402" s="35" t="s">
        <v>1271</v>
      </c>
      <c r="H402" s="54" t="s">
        <v>1288</v>
      </c>
      <c r="I402" s="16">
        <v>44</v>
      </c>
      <c r="J402" s="29">
        <v>319.545454545455</v>
      </c>
      <c r="K402" s="55">
        <v>4600</v>
      </c>
      <c r="L402" s="55">
        <v>104.545454545455</v>
      </c>
      <c r="M402" s="55">
        <v>215</v>
      </c>
      <c r="N402" s="56">
        <v>249.079358418182</v>
      </c>
      <c r="O402" s="55">
        <v>3022.9917704</v>
      </c>
      <c r="P402" s="55">
        <v>68.7043584181818</v>
      </c>
      <c r="Q402" s="55">
        <v>180.375</v>
      </c>
      <c r="R402" s="55">
        <v>-70.4660961272727</v>
      </c>
      <c r="S402" s="57">
        <v>23.2777061262764</v>
      </c>
      <c r="T402" s="54" t="s">
        <v>1326</v>
      </c>
      <c r="U402" s="54" t="s">
        <v>272</v>
      </c>
      <c r="V402" s="22">
        <v>46003</v>
      </c>
      <c r="W402" s="16">
        <v>44</v>
      </c>
    </row>
    <row r="403" ht="16.5" customHeight="1" spans="2:23">
      <c r="B403" s="15">
        <v>1</v>
      </c>
      <c r="C403" s="54" t="s">
        <v>1430</v>
      </c>
      <c r="D403" s="54" t="s">
        <v>1442</v>
      </c>
      <c r="E403" s="58" t="s">
        <v>1360</v>
      </c>
      <c r="F403" s="38">
        <v>4.96495713634664</v>
      </c>
      <c r="G403" s="35" t="s">
        <v>1271</v>
      </c>
      <c r="H403" s="54" t="s">
        <v>1288</v>
      </c>
      <c r="I403" s="16">
        <v>44</v>
      </c>
      <c r="J403" s="29">
        <v>187.045454545455</v>
      </c>
      <c r="K403" s="55">
        <v>1850</v>
      </c>
      <c r="L403" s="55">
        <v>42.0454545454545</v>
      </c>
      <c r="M403" s="55">
        <v>145</v>
      </c>
      <c r="N403" s="56">
        <v>155.635144506818</v>
      </c>
      <c r="O403" s="55">
        <v>1914.4463583</v>
      </c>
      <c r="P403" s="55">
        <v>43.5101445068182</v>
      </c>
      <c r="Q403" s="55">
        <v>112.125</v>
      </c>
      <c r="R403" s="55">
        <v>-31.4103100386364</v>
      </c>
      <c r="S403" s="57">
        <v>31.3467247013011</v>
      </c>
      <c r="T403" s="54" t="s">
        <v>1326</v>
      </c>
      <c r="U403" s="54" t="s">
        <v>272</v>
      </c>
      <c r="V403" s="22">
        <v>46003</v>
      </c>
      <c r="W403" s="16">
        <v>44</v>
      </c>
    </row>
    <row r="404" ht="16.5" customHeight="1" spans="2:23">
      <c r="B404" s="15">
        <v>1</v>
      </c>
      <c r="C404" s="54" t="s">
        <v>1430</v>
      </c>
      <c r="D404" s="54" t="s">
        <v>1443</v>
      </c>
      <c r="E404" s="58" t="s">
        <v>1362</v>
      </c>
      <c r="F404" s="38">
        <v>4.96495713634664</v>
      </c>
      <c r="G404" s="35" t="s">
        <v>1271</v>
      </c>
      <c r="H404" s="54" t="s">
        <v>1288</v>
      </c>
      <c r="I404" s="16">
        <v>44</v>
      </c>
      <c r="J404" s="29">
        <v>187.045454545455</v>
      </c>
      <c r="K404" s="55">
        <v>1850</v>
      </c>
      <c r="L404" s="55">
        <v>42.0454545454545</v>
      </c>
      <c r="M404" s="55">
        <v>145</v>
      </c>
      <c r="N404" s="56">
        <v>155.635144506818</v>
      </c>
      <c r="O404" s="55">
        <v>1914.4463583</v>
      </c>
      <c r="P404" s="55">
        <v>43.5101445068182</v>
      </c>
      <c r="Q404" s="55">
        <v>112.125</v>
      </c>
      <c r="R404" s="55">
        <v>-31.4103100386364</v>
      </c>
      <c r="S404" s="57">
        <v>31.3467247013011</v>
      </c>
      <c r="T404" s="54" t="s">
        <v>1326</v>
      </c>
      <c r="U404" s="54" t="s">
        <v>272</v>
      </c>
      <c r="V404" s="22">
        <v>46003</v>
      </c>
      <c r="W404" s="16">
        <v>44</v>
      </c>
    </row>
    <row r="405" ht="16.5" customHeight="1" spans="2:23">
      <c r="B405" s="15">
        <v>1</v>
      </c>
      <c r="C405" s="59" t="s">
        <v>556</v>
      </c>
      <c r="D405" s="59" t="s">
        <v>884</v>
      </c>
      <c r="E405" s="59" t="s">
        <v>84</v>
      </c>
      <c r="F405" s="60">
        <v>155.13734527063</v>
      </c>
      <c r="G405" s="61" t="s">
        <v>1271</v>
      </c>
      <c r="H405" s="59" t="s">
        <v>1330</v>
      </c>
      <c r="I405" s="62">
        <v>12</v>
      </c>
      <c r="J405" s="63">
        <f>M405+L405</f>
        <v>2645.2</v>
      </c>
      <c r="K405" s="64">
        <v>15000</v>
      </c>
      <c r="L405" s="64">
        <f>K405/I405</f>
        <v>1250</v>
      </c>
      <c r="M405" s="64">
        <v>1395.2</v>
      </c>
      <c r="N405" s="64">
        <f>Q405+P405</f>
        <v>2455.0583744</v>
      </c>
      <c r="O405" s="64">
        <v>12500.0204928</v>
      </c>
      <c r="P405" s="64">
        <f>O405/I405</f>
        <v>1041.6683744</v>
      </c>
      <c r="Q405" s="64">
        <v>1413.39</v>
      </c>
      <c r="R405" s="64">
        <f>N405-J405</f>
        <v>-190.1416256</v>
      </c>
      <c r="S405" s="65">
        <f>N405/F405</f>
        <v>15.8250637209066</v>
      </c>
      <c r="T405" s="66" t="s">
        <v>1444</v>
      </c>
      <c r="U405" s="59" t="s">
        <v>87</v>
      </c>
      <c r="V405" s="22">
        <v>46003</v>
      </c>
      <c r="W405" s="62">
        <v>12</v>
      </c>
    </row>
    <row r="406" ht="16.5" customHeight="1" spans="2:23">
      <c r="B406" s="15">
        <v>1</v>
      </c>
      <c r="C406" s="59" t="s">
        <v>580</v>
      </c>
      <c r="D406" s="59" t="s">
        <v>1445</v>
      </c>
      <c r="E406" s="67" t="s">
        <v>84</v>
      </c>
      <c r="F406" s="60">
        <v>95.5839012593715</v>
      </c>
      <c r="G406" s="61" t="s">
        <v>1271</v>
      </c>
      <c r="H406" s="59" t="s">
        <v>1330</v>
      </c>
      <c r="I406" s="62">
        <v>5</v>
      </c>
      <c r="J406" s="63">
        <f>M406+L406</f>
        <v>1987.4</v>
      </c>
      <c r="K406" s="64">
        <v>6000</v>
      </c>
      <c r="L406" s="64">
        <f>K406/I406</f>
        <v>1200</v>
      </c>
      <c r="M406" s="64">
        <v>787.4</v>
      </c>
      <c r="N406" s="64">
        <f>Q406+P406</f>
        <v>1840.65163136</v>
      </c>
      <c r="O406" s="64">
        <v>5993.7781568</v>
      </c>
      <c r="P406" s="64">
        <f>O406/I406</f>
        <v>1198.75563136</v>
      </c>
      <c r="Q406" s="64">
        <v>641.896</v>
      </c>
      <c r="R406" s="64">
        <f>N406-J406</f>
        <v>-146.74836864</v>
      </c>
      <c r="S406" s="65">
        <f>N406/F406</f>
        <v>19.2569209574874</v>
      </c>
      <c r="T406" s="66" t="s">
        <v>1444</v>
      </c>
      <c r="U406" s="59" t="s">
        <v>87</v>
      </c>
      <c r="V406" s="22">
        <v>46003</v>
      </c>
      <c r="W406" s="62">
        <v>5</v>
      </c>
    </row>
    <row r="407" ht="16.5" customHeight="1" spans="2:23">
      <c r="B407" s="15">
        <v>1</v>
      </c>
      <c r="C407" s="59" t="s">
        <v>580</v>
      </c>
      <c r="D407" s="59" t="s">
        <v>1446</v>
      </c>
      <c r="E407" s="67" t="s">
        <v>84</v>
      </c>
      <c r="F407" s="60">
        <v>95.2567207545562</v>
      </c>
      <c r="G407" s="61" t="s">
        <v>1271</v>
      </c>
      <c r="H407" s="59" t="s">
        <v>1330</v>
      </c>
      <c r="I407" s="62">
        <v>2</v>
      </c>
      <c r="J407" s="63">
        <f>M407+L407</f>
        <v>3787.4</v>
      </c>
      <c r="K407" s="64">
        <v>6000</v>
      </c>
      <c r="L407" s="64">
        <f>K407/I407</f>
        <v>3000</v>
      </c>
      <c r="M407" s="64">
        <v>787.4</v>
      </c>
      <c r="N407" s="64">
        <f>Q407+P407</f>
        <v>3632.7850784</v>
      </c>
      <c r="O407" s="64">
        <v>5993.7781568</v>
      </c>
      <c r="P407" s="64">
        <f>O407/I407</f>
        <v>2996.8890784</v>
      </c>
      <c r="Q407" s="64">
        <v>635.896</v>
      </c>
      <c r="R407" s="64">
        <f>N407-J407</f>
        <v>-154.6149216</v>
      </c>
      <c r="S407" s="65">
        <f>N407/F407</f>
        <v>38.1367849913755</v>
      </c>
      <c r="T407" s="66" t="s">
        <v>1444</v>
      </c>
      <c r="U407" s="59" t="s">
        <v>87</v>
      </c>
      <c r="V407" s="22">
        <v>46003</v>
      </c>
      <c r="W407" s="62">
        <v>2</v>
      </c>
    </row>
    <row r="408" spans="2:23">
      <c r="B408" s="15"/>
      <c r="C408" s="16"/>
      <c r="D408" s="17"/>
      <c r="E408" s="18"/>
      <c r="F408" s="19"/>
      <c r="G408" s="16"/>
      <c r="H408" s="16"/>
      <c r="I408" s="20"/>
      <c r="J408" s="43"/>
      <c r="K408" s="20"/>
      <c r="L408" s="20"/>
      <c r="M408" s="20"/>
      <c r="N408" s="19"/>
      <c r="O408" s="20"/>
      <c r="P408" s="20"/>
      <c r="Q408" s="20"/>
      <c r="R408" s="20"/>
      <c r="S408" s="21"/>
      <c r="T408" s="16"/>
      <c r="U408" s="16"/>
      <c r="V408" s="22"/>
      <c r="W408" s="23"/>
    </row>
  </sheetData>
  <autoFilter xmlns:etc="http://www.wps.cn/officeDocument/2017/etCustomData" ref="B3:W407" etc:filterBottomFollowUsedRange="0">
    <filterColumn colId="20">
      <customFilters>
        <customFilter operator="notEqual" val=""/>
      </customFilters>
    </filterColumn>
    <extLst/>
  </autoFilter>
  <mergeCells count="15">
    <mergeCell ref="F2:G2"/>
    <mergeCell ref="J2:M2"/>
    <mergeCell ref="N2:Q2"/>
    <mergeCell ref="B2:B3"/>
    <mergeCell ref="C2:C3"/>
    <mergeCell ref="D2:D3"/>
    <mergeCell ref="E2:E3"/>
    <mergeCell ref="H2:H3"/>
    <mergeCell ref="I2:I3"/>
    <mergeCell ref="R2:R3"/>
    <mergeCell ref="S2:S3"/>
    <mergeCell ref="T2:T3"/>
    <mergeCell ref="U2:U3"/>
    <mergeCell ref="V2:V3"/>
    <mergeCell ref="W2:W3"/>
  </mergeCells>
  <dataValidations count="1">
    <dataValidation type="list" allowBlank="1" showInputMessage="1" showErrorMessage="1" sqref="G408 G4:G287 G304:G333 G343:G345 G361:G376">
      <formula1>"零件定价,零件目标"</formula1>
    </dataValidation>
  </dataValidations>
  <printOptions horizontalCentered="1"/>
  <pageMargins left="0.236220472440945" right="0.236220472440945" top="0.748031496062992" bottom="0.748031496062992" header="0.31496062992126" footer="0.31496062992126"/>
  <pageSetup paperSize="9" scale="40" fitToHeight="0" orientation="landscape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66371681415929" defaultRowHeight="13.8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零部件成本及投资费评估</vt:lpstr>
      <vt:lpstr>设计成本优化提案反馈表</vt:lpstr>
      <vt:lpstr>样件评估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张燕</dc:creator>
  <cp:lastModifiedBy>oki、doki</cp:lastModifiedBy>
  <dcterms:created xsi:type="dcterms:W3CDTF">2026-04-08T04:03:00Z</dcterms:created>
  <dcterms:modified xsi:type="dcterms:W3CDTF">2026-05-06T02:10:45Z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FB4B76E6591B435099E38FA4F9C319DC_12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