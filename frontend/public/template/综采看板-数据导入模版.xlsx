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docProps/custom.xml" ContentType="application/vnd.openxmlformats-officedocument.custom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3" Type="http://schemas.openxmlformats.org/package/2006/relationships/metadata/core-properties" Target="docProps/core.xml"/><Relationship Id="rId2" Type="http://schemas.openxmlformats.org/officeDocument/2006/relationships/extended-properties" Target="docProps/app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dbsheet="http://web.wps.cn/et/2021/dbsheet">
  <fileVersion appName="xl" lastEdited="3" lowestEdited="5" rupBuild="9302"/>
  <workbookPr/>
  <bookViews>
    <workbookView windowWidth="22188" windowHeight="9180"/>
  </bookViews>
  <sheets>
    <sheet name="模版" sheetId="3" r:id="rId1"/>
  </sheets>
  <definedNames>
    <definedName name="_xlnm._FilterDatabase" localSheetId="0" hidden="1">模版!$A$2:$N$5</definedName>
  </definedName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<sst xmlns="http://schemas.openxmlformats.org/spreadsheetml/2006/main" count="36" uniqueCount="32">
  <si>
    <t>单位名称，填在此列</t>
  </si>
  <si>
    <t>单位转换后，不需要填写（简称）：北汽股份、北汽新能源、研究总院</t>
  </si>
  <si>
    <t>取用预算申请金额</t>
  </si>
  <si>
    <r>
      <rPr>
        <b/>
        <sz val="11"/>
        <color rgb="FF000000"/>
        <rFont val="宋体"/>
        <charset val="134"/>
        <scheme val="minor"/>
      </rPr>
      <t>预算申请金额-采购结果报告金额
(</t>
    </r>
    <r>
      <rPr>
        <b/>
        <sz val="11"/>
        <color rgb="FFFF0000"/>
        <rFont val="宋体"/>
        <charset val="134"/>
        <scheme val="minor"/>
      </rPr>
      <t>负数正常显示，请勿调整</t>
    </r>
    <r>
      <rPr>
        <b/>
        <sz val="11"/>
        <color rgb="FF000000"/>
        <rFont val="宋体"/>
        <charset val="134"/>
        <scheme val="minor"/>
      </rPr>
      <t>)</t>
    </r>
  </si>
  <si>
    <t>降本额/采购额</t>
  </si>
  <si>
    <t>例：2025/07/21</t>
  </si>
  <si>
    <t>例：2025/08/21</t>
  </si>
  <si>
    <t>例：2025/08</t>
  </si>
  <si>
    <t>天</t>
  </si>
  <si>
    <r>
      <rPr>
        <b/>
        <sz val="11"/>
        <color rgb="FF000000"/>
        <rFont val="宋体"/>
        <charset val="134"/>
        <scheme val="minor"/>
      </rPr>
      <t>采购结果结束日期-需求确认日期-节假日周期（</t>
    </r>
    <r>
      <rPr>
        <b/>
        <sz val="11"/>
        <color rgb="FFFF0000"/>
        <rFont val="宋体"/>
        <charset val="134"/>
        <scheme val="minor"/>
      </rPr>
      <t>需整数，请勿出现小数点</t>
    </r>
    <r>
      <rPr>
        <b/>
        <sz val="11"/>
        <color rgb="FF000000"/>
        <rFont val="宋体"/>
        <charset val="134"/>
        <scheme val="minor"/>
      </rPr>
      <t>）</t>
    </r>
  </si>
  <si>
    <t>序号</t>
  </si>
  <si>
    <t>请购主体单位（全称）</t>
  </si>
  <si>
    <t>请购主体单位</t>
  </si>
  <si>
    <t>采购业务线</t>
  </si>
  <si>
    <t>申请单号</t>
  </si>
  <si>
    <t>采购额</t>
  </si>
  <si>
    <t>采购结果报告金额</t>
  </si>
  <si>
    <t>降本额</t>
  </si>
  <si>
    <t>降本率</t>
  </si>
  <si>
    <t>需求确认日期</t>
  </si>
  <si>
    <t>采购结果结束日期</t>
  </si>
  <si>
    <t>采购结果结束月</t>
  </si>
  <si>
    <t>节假日周期（法定节假日周期）</t>
  </si>
  <si>
    <t>采购周期</t>
  </si>
  <si>
    <t>北京汽车股份有限公司</t>
  </si>
  <si>
    <t>营销采购</t>
  </si>
  <si>
    <t>GF2025072800912</t>
  </si>
  <si>
    <t>2025/08</t>
  </si>
  <si>
    <t>北京新能源汽车股份有限公司</t>
  </si>
  <si>
    <t>运维采购</t>
  </si>
  <si>
    <t>LG2025062000599</t>
  </si>
  <si>
    <t>GF2025081801071</t>
  </si>
</sst>
</file>

<file path=xl/styles.xml><?xml version="1.0" encoding="utf-8"?>
<styleSheet xmlns="http://schemas.openxmlformats.org/spreadsheetml/2006/main" xmlns:mc="http://schemas.openxmlformats.org/markup-compatibility/2006" xmlns:xr9="http://schemas.microsoft.com/office/spreadsheetml/2016/revision9" mc:Ignorable="xr9">
  <numFmts count="6">
    <numFmt numFmtId="41" formatCode="_ * #,##0_ ;_ * \-#,##0_ ;_ * &quot;-&quot;_ ;_ @_ "/>
    <numFmt numFmtId="42" formatCode="_ &quot;￥&quot;* #,##0_ ;_ &quot;￥&quot;* \-#,##0_ ;_ &quot;￥&quot;* &quot;-&quot;_ ;_ @_ "/>
    <numFmt numFmtId="43" formatCode="_ * #,##0.00_ ;_ * \-#,##0.00_ ;_ * &quot;-&quot;??_ ;_ @_ "/>
    <numFmt numFmtId="44" formatCode="_ &quot;￥&quot;* #,##0.00_ ;_ &quot;￥&quot;* \-#,##0.00_ ;_ &quot;￥&quot;* &quot;-&quot;??_ ;_ @_ "/>
    <numFmt numFmtId="176" formatCode="#,##0.00_ "/>
    <numFmt numFmtId="177" formatCode="yyyy/mm/dd"/>
  </numFmts>
  <fonts count="24">
    <font>
      <sz val="11"/>
      <color theme="1"/>
      <name val="宋体"/>
      <charset val="134"/>
      <scheme val="minor"/>
    </font>
    <font>
      <b/>
      <sz val="11"/>
      <color theme="1"/>
      <name val="宋体"/>
      <charset val="134"/>
      <scheme val="minor"/>
    </font>
    <font>
      <b/>
      <sz val="11"/>
      <color indexed="8"/>
      <name val="宋体"/>
      <charset val="134"/>
      <scheme val="minor"/>
    </font>
    <font>
      <b/>
      <sz val="11"/>
      <color rgb="FF000000"/>
      <name val="宋体"/>
      <charset val="134"/>
      <scheme val="minor"/>
    </font>
    <font>
      <u/>
      <sz val="11"/>
      <color rgb="FF0000FF"/>
      <name val="宋体"/>
      <charset val="0"/>
      <scheme val="minor"/>
    </font>
    <font>
      <u/>
      <sz val="11"/>
      <color rgb="FF800080"/>
      <name val="宋体"/>
      <charset val="0"/>
      <scheme val="minor"/>
    </font>
    <font>
      <sz val="11"/>
      <color rgb="FFFF0000"/>
      <name val="宋体"/>
      <charset val="0"/>
      <scheme val="minor"/>
    </font>
    <font>
      <b/>
      <sz val="18"/>
      <color theme="3"/>
      <name val="宋体"/>
      <charset val="134"/>
      <scheme val="minor"/>
    </font>
    <font>
      <i/>
      <sz val="11"/>
      <color rgb="FF7F7F7F"/>
      <name val="宋体"/>
      <charset val="0"/>
      <scheme val="minor"/>
    </font>
    <font>
      <b/>
      <sz val="15"/>
      <color theme="3"/>
      <name val="宋体"/>
      <charset val="134"/>
      <scheme val="minor"/>
    </font>
    <font>
      <b/>
      <sz val="13"/>
      <color theme="3"/>
      <name val="宋体"/>
      <charset val="134"/>
      <scheme val="minor"/>
    </font>
    <font>
      <b/>
      <sz val="11"/>
      <color theme="3"/>
      <name val="宋体"/>
      <charset val="134"/>
      <scheme val="minor"/>
    </font>
    <font>
      <sz val="11"/>
      <color rgb="FF3F3F76"/>
      <name val="宋体"/>
      <charset val="0"/>
      <scheme val="minor"/>
    </font>
    <font>
      <b/>
      <sz val="11"/>
      <color rgb="FF3F3F3F"/>
      <name val="宋体"/>
      <charset val="0"/>
      <scheme val="minor"/>
    </font>
    <font>
      <b/>
      <sz val="11"/>
      <color rgb="FFFA7D00"/>
      <name val="宋体"/>
      <charset val="0"/>
      <scheme val="minor"/>
    </font>
    <font>
      <b/>
      <sz val="11"/>
      <color rgb="FFFFFFFF"/>
      <name val="宋体"/>
      <charset val="0"/>
      <scheme val="minor"/>
    </font>
    <font>
      <sz val="11"/>
      <color rgb="FFFA7D00"/>
      <name val="宋体"/>
      <charset val="0"/>
      <scheme val="minor"/>
    </font>
    <font>
      <b/>
      <sz val="11"/>
      <color theme="1"/>
      <name val="宋体"/>
      <charset val="0"/>
      <scheme val="minor"/>
    </font>
    <font>
      <sz val="11"/>
      <color rgb="FF006100"/>
      <name val="宋体"/>
      <charset val="0"/>
      <scheme val="minor"/>
    </font>
    <font>
      <sz val="11"/>
      <color rgb="FF9C0006"/>
      <name val="宋体"/>
      <charset val="0"/>
      <scheme val="minor"/>
    </font>
    <font>
      <sz val="11"/>
      <color rgb="FF9C6500"/>
      <name val="宋体"/>
      <charset val="0"/>
      <scheme val="minor"/>
    </font>
    <font>
      <sz val="11"/>
      <color theme="0"/>
      <name val="宋体"/>
      <charset val="0"/>
      <scheme val="minor"/>
    </font>
    <font>
      <sz val="11"/>
      <color theme="1"/>
      <name val="宋体"/>
      <charset val="0"/>
      <scheme val="minor"/>
    </font>
    <font>
      <b/>
      <sz val="11"/>
      <color rgb="FFFF0000"/>
      <name val="宋体"/>
      <charset val="134"/>
      <scheme val="minor"/>
    </font>
  </fonts>
  <fills count="34">
    <fill>
      <patternFill patternType="none"/>
    </fill>
    <fill>
      <patternFill patternType="gray125"/>
    </fill>
    <fill>
      <patternFill patternType="solid">
        <fgColor rgb="FFFFFF00"/>
        <bgColor indexed="64"/>
      </patternFill>
    </fill>
    <fill>
      <patternFill patternType="solid">
        <fgColor theme="7" tint="0.599993896298105"/>
        <bgColor indexed="64"/>
      </patternFill>
    </fill>
    <fill>
      <patternFill patternType="solid">
        <fgColor rgb="FFFFFFCC"/>
        <bgColor indexed="64"/>
      </patternFill>
    </fill>
    <fill>
      <patternFill patternType="solid">
        <fgColor rgb="FFFFCC99"/>
        <bgColor indexed="64"/>
      </patternFill>
    </fill>
    <fill>
      <patternFill patternType="solid">
        <fgColor rgb="FFF2F2F2"/>
        <bgColor indexed="64"/>
      </patternFill>
    </fill>
    <fill>
      <patternFill patternType="solid">
        <fgColor rgb="FFA5A5A5"/>
        <bgColor indexed="64"/>
      </patternFill>
    </fill>
    <fill>
      <patternFill patternType="solid">
        <fgColor rgb="FFC6EFCE"/>
        <bgColor indexed="64"/>
      </patternFill>
    </fill>
    <fill>
      <patternFill patternType="solid">
        <fgColor rgb="FFFFC7CE"/>
        <bgColor indexed="64"/>
      </patternFill>
    </fill>
    <fill>
      <patternFill patternType="solid">
        <fgColor rgb="FFFFEB9C"/>
        <bgColor indexed="64"/>
      </patternFill>
    </fill>
    <fill>
      <patternFill patternType="solid">
        <fgColor theme="4"/>
        <bgColor indexed="64"/>
      </patternFill>
    </fill>
    <fill>
      <patternFill patternType="solid">
        <fgColor theme="4" tint="0.799981688894314"/>
        <bgColor indexed="64"/>
      </patternFill>
    </fill>
    <fill>
      <patternFill patternType="solid">
        <fgColor theme="4" tint="0.599993896298105"/>
        <bgColor indexed="64"/>
      </patternFill>
    </fill>
    <fill>
      <patternFill patternType="solid">
        <fgColor theme="4" tint="0.399975585192419"/>
        <bgColor indexed="64"/>
      </patternFill>
    </fill>
    <fill>
      <patternFill patternType="solid">
        <fgColor theme="5"/>
        <bgColor indexed="64"/>
      </patternFill>
    </fill>
    <fill>
      <patternFill patternType="solid">
        <fgColor theme="5" tint="0.799981688894314"/>
        <bgColor indexed="64"/>
      </patternFill>
    </fill>
    <fill>
      <patternFill patternType="solid">
        <fgColor theme="5" tint="0.599993896298105"/>
        <bgColor indexed="64"/>
      </patternFill>
    </fill>
    <fill>
      <patternFill patternType="solid">
        <fgColor theme="5" tint="0.399975585192419"/>
        <bgColor indexed="64"/>
      </patternFill>
    </fill>
    <fill>
      <patternFill patternType="solid">
        <fgColor theme="6"/>
        <bgColor indexed="64"/>
      </patternFill>
    </fill>
    <fill>
      <patternFill patternType="solid">
        <fgColor theme="6" tint="0.799981688894314"/>
        <bgColor indexed="64"/>
      </patternFill>
    </fill>
    <fill>
      <patternFill patternType="solid">
        <fgColor theme="6" tint="0.599993896298105"/>
        <bgColor indexed="64"/>
      </patternFill>
    </fill>
    <fill>
      <patternFill patternType="solid">
        <fgColor theme="6" tint="0.399975585192419"/>
        <bgColor indexed="64"/>
      </patternFill>
    </fill>
    <fill>
      <patternFill patternType="solid">
        <fgColor theme="7"/>
        <bgColor indexed="64"/>
      </patternFill>
    </fill>
    <fill>
      <patternFill patternType="solid">
        <fgColor theme="7" tint="0.799981688894314"/>
        <bgColor indexed="64"/>
      </patternFill>
    </fill>
    <fill>
      <patternFill patternType="solid">
        <fgColor theme="7" tint="0.399975585192419"/>
        <bgColor indexed="64"/>
      </patternFill>
    </fill>
    <fill>
      <patternFill patternType="solid">
        <fgColor theme="8"/>
        <bgColor indexed="64"/>
      </patternFill>
    </fill>
    <fill>
      <patternFill patternType="solid">
        <fgColor theme="8" tint="0.799981688894314"/>
        <bgColor indexed="64"/>
      </patternFill>
    </fill>
    <fill>
      <patternFill patternType="solid">
        <fgColor theme="8" tint="0.599993896298105"/>
        <bgColor indexed="64"/>
      </patternFill>
    </fill>
    <fill>
      <patternFill patternType="solid">
        <fgColor theme="8" tint="0.399975585192419"/>
        <bgColor indexed="64"/>
      </patternFill>
    </fill>
    <fill>
      <patternFill patternType="solid">
        <fgColor theme="9"/>
        <bgColor indexed="64"/>
      </patternFill>
    </fill>
    <fill>
      <patternFill patternType="solid">
        <fgColor theme="9" tint="0.799981688894314"/>
        <bgColor indexed="64"/>
      </patternFill>
    </fill>
    <fill>
      <patternFill patternType="solid">
        <fgColor theme="9" tint="0.599993896298105"/>
        <bgColor indexed="64"/>
      </patternFill>
    </fill>
    <fill>
      <patternFill patternType="solid">
        <fgColor theme="9" tint="0.399975585192419"/>
        <bgColor indexed="64"/>
      </patternFill>
    </fill>
  </fills>
  <borders count="10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/>
      <bottom style="medium">
        <color theme="4"/>
      </bottom>
      <diagonal/>
    </border>
    <border>
      <left/>
      <right/>
      <top/>
      <bottom style="medium">
        <color theme="4" tint="0.499984740745262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/>
      <right/>
      <top/>
      <bottom style="double">
        <color rgb="FFFF8001"/>
      </bottom>
      <diagonal/>
    </border>
    <border>
      <left/>
      <right/>
      <top style="thin">
        <color theme="4"/>
      </top>
      <bottom style="double">
        <color theme="4"/>
      </bottom>
      <diagonal/>
    </border>
  </borders>
  <cellStyleXfs count="49">
    <xf numFmtId="0" fontId="0" fillId="0" borderId="0">
      <alignment vertical="center"/>
    </xf>
    <xf numFmtId="43" fontId="0" fillId="0" borderId="0" applyFont="0" applyFill="0" applyBorder="0" applyAlignment="0" applyProtection="0">
      <alignment vertical="center"/>
    </xf>
    <xf numFmtId="44" fontId="0" fillId="0" borderId="0" applyFont="0" applyFill="0" applyBorder="0" applyAlignment="0" applyProtection="0">
      <alignment vertical="center"/>
    </xf>
    <xf numFmtId="9" fontId="0" fillId="0" borderId="0" applyFont="0" applyFill="0" applyBorder="0" applyAlignment="0" applyProtection="0">
      <alignment vertical="center"/>
    </xf>
    <xf numFmtId="41" fontId="0" fillId="0" borderId="0" applyFont="0" applyFill="0" applyBorder="0" applyAlignment="0" applyProtection="0">
      <alignment vertical="center"/>
    </xf>
    <xf numFmtId="42" fontId="0" fillId="0" borderId="0" applyFont="0" applyFill="0" applyBorder="0" applyAlignment="0" applyProtection="0">
      <alignment vertical="center"/>
    </xf>
    <xf numFmtId="0" fontId="4" fillId="0" borderId="0" applyNumberFormat="0" applyFill="0" applyBorder="0" applyAlignment="0" applyProtection="0">
      <alignment vertical="center"/>
    </xf>
    <xf numFmtId="0" fontId="5" fillId="0" borderId="0" applyNumberFormat="0" applyFill="0" applyBorder="0" applyAlignment="0" applyProtection="0">
      <alignment vertical="center"/>
    </xf>
    <xf numFmtId="0" fontId="0" fillId="4" borderId="2" applyNumberFormat="0" applyFont="0" applyAlignment="0" applyProtection="0">
      <alignment vertical="center"/>
    </xf>
    <xf numFmtId="0" fontId="6" fillId="0" borderId="0" applyNumberFormat="0" applyFill="0" applyBorder="0" applyAlignment="0" applyProtection="0">
      <alignment vertical="center"/>
    </xf>
    <xf numFmtId="0" fontId="7" fillId="0" borderId="0" applyNumberFormat="0" applyFill="0" applyBorder="0" applyAlignment="0" applyProtection="0">
      <alignment vertical="center"/>
    </xf>
    <xf numFmtId="0" fontId="8" fillId="0" borderId="0" applyNumberFormat="0" applyFill="0" applyBorder="0" applyAlignment="0" applyProtection="0">
      <alignment vertical="center"/>
    </xf>
    <xf numFmtId="0" fontId="9" fillId="0" borderId="3" applyNumberFormat="0" applyFill="0" applyAlignment="0" applyProtection="0">
      <alignment vertical="center"/>
    </xf>
    <xf numFmtId="0" fontId="10" fillId="0" borderId="3" applyNumberFormat="0" applyFill="0" applyAlignment="0" applyProtection="0">
      <alignment vertical="center"/>
    </xf>
    <xf numFmtId="0" fontId="11" fillId="0" borderId="4" applyNumberFormat="0" applyFill="0" applyAlignment="0" applyProtection="0">
      <alignment vertical="center"/>
    </xf>
    <xf numFmtId="0" fontId="11" fillId="0" borderId="0" applyNumberFormat="0" applyFill="0" applyBorder="0" applyAlignment="0" applyProtection="0">
      <alignment vertical="center"/>
    </xf>
    <xf numFmtId="0" fontId="12" fillId="5" borderId="5" applyNumberFormat="0" applyAlignment="0" applyProtection="0">
      <alignment vertical="center"/>
    </xf>
    <xf numFmtId="0" fontId="13" fillId="6" borderId="6" applyNumberFormat="0" applyAlignment="0" applyProtection="0">
      <alignment vertical="center"/>
    </xf>
    <xf numFmtId="0" fontId="14" fillId="6" borderId="5" applyNumberFormat="0" applyAlignment="0" applyProtection="0">
      <alignment vertical="center"/>
    </xf>
    <xf numFmtId="0" fontId="15" fillId="7" borderId="7" applyNumberFormat="0" applyAlignment="0" applyProtection="0">
      <alignment vertical="center"/>
    </xf>
    <xf numFmtId="0" fontId="16" fillId="0" borderId="8" applyNumberFormat="0" applyFill="0" applyAlignment="0" applyProtection="0">
      <alignment vertical="center"/>
    </xf>
    <xf numFmtId="0" fontId="17" fillId="0" borderId="9" applyNumberFormat="0" applyFill="0" applyAlignment="0" applyProtection="0">
      <alignment vertical="center"/>
    </xf>
    <xf numFmtId="0" fontId="18" fillId="8" borderId="0" applyNumberFormat="0" applyBorder="0" applyAlignment="0" applyProtection="0">
      <alignment vertical="center"/>
    </xf>
    <xf numFmtId="0" fontId="19" fillId="9" borderId="0" applyNumberFormat="0" applyBorder="0" applyAlignment="0" applyProtection="0">
      <alignment vertical="center"/>
    </xf>
    <xf numFmtId="0" fontId="20" fillId="10" borderId="0" applyNumberFormat="0" applyBorder="0" applyAlignment="0" applyProtection="0">
      <alignment vertical="center"/>
    </xf>
    <xf numFmtId="0" fontId="21" fillId="11" borderId="0" applyNumberFormat="0" applyBorder="0" applyAlignment="0" applyProtection="0">
      <alignment vertical="center"/>
    </xf>
    <xf numFmtId="0" fontId="22" fillId="12" borderId="0" applyNumberFormat="0" applyBorder="0" applyAlignment="0" applyProtection="0">
      <alignment vertical="center"/>
    </xf>
    <xf numFmtId="0" fontId="22" fillId="13" borderId="0" applyNumberFormat="0" applyBorder="0" applyAlignment="0" applyProtection="0">
      <alignment vertical="center"/>
    </xf>
    <xf numFmtId="0" fontId="21" fillId="14" borderId="0" applyNumberFormat="0" applyBorder="0" applyAlignment="0" applyProtection="0">
      <alignment vertical="center"/>
    </xf>
    <xf numFmtId="0" fontId="21" fillId="15" borderId="0" applyNumberFormat="0" applyBorder="0" applyAlignment="0" applyProtection="0">
      <alignment vertical="center"/>
    </xf>
    <xf numFmtId="0" fontId="22" fillId="16" borderId="0" applyNumberFormat="0" applyBorder="0" applyAlignment="0" applyProtection="0">
      <alignment vertical="center"/>
    </xf>
    <xf numFmtId="0" fontId="22" fillId="17" borderId="0" applyNumberFormat="0" applyBorder="0" applyAlignment="0" applyProtection="0">
      <alignment vertical="center"/>
    </xf>
    <xf numFmtId="0" fontId="21" fillId="18" borderId="0" applyNumberFormat="0" applyBorder="0" applyAlignment="0" applyProtection="0">
      <alignment vertical="center"/>
    </xf>
    <xf numFmtId="0" fontId="21" fillId="19" borderId="0" applyNumberFormat="0" applyBorder="0" applyAlignment="0" applyProtection="0">
      <alignment vertical="center"/>
    </xf>
    <xf numFmtId="0" fontId="22" fillId="20" borderId="0" applyNumberFormat="0" applyBorder="0" applyAlignment="0" applyProtection="0">
      <alignment vertical="center"/>
    </xf>
    <xf numFmtId="0" fontId="22" fillId="21" borderId="0" applyNumberFormat="0" applyBorder="0" applyAlignment="0" applyProtection="0">
      <alignment vertical="center"/>
    </xf>
    <xf numFmtId="0" fontId="21" fillId="22" borderId="0" applyNumberFormat="0" applyBorder="0" applyAlignment="0" applyProtection="0">
      <alignment vertical="center"/>
    </xf>
    <xf numFmtId="0" fontId="21" fillId="23" borderId="0" applyNumberFormat="0" applyBorder="0" applyAlignment="0" applyProtection="0">
      <alignment vertical="center"/>
    </xf>
    <xf numFmtId="0" fontId="22" fillId="24" borderId="0" applyNumberFormat="0" applyBorder="0" applyAlignment="0" applyProtection="0">
      <alignment vertical="center"/>
    </xf>
    <xf numFmtId="0" fontId="22" fillId="3" borderId="0" applyNumberFormat="0" applyBorder="0" applyAlignment="0" applyProtection="0">
      <alignment vertical="center"/>
    </xf>
    <xf numFmtId="0" fontId="21" fillId="25" borderId="0" applyNumberFormat="0" applyBorder="0" applyAlignment="0" applyProtection="0">
      <alignment vertical="center"/>
    </xf>
    <xf numFmtId="0" fontId="21" fillId="26" borderId="0" applyNumberFormat="0" applyBorder="0" applyAlignment="0" applyProtection="0">
      <alignment vertical="center"/>
    </xf>
    <xf numFmtId="0" fontId="22" fillId="27" borderId="0" applyNumberFormat="0" applyBorder="0" applyAlignment="0" applyProtection="0">
      <alignment vertical="center"/>
    </xf>
    <xf numFmtId="0" fontId="22" fillId="28" borderId="0" applyNumberFormat="0" applyBorder="0" applyAlignment="0" applyProtection="0">
      <alignment vertical="center"/>
    </xf>
    <xf numFmtId="0" fontId="21" fillId="29" borderId="0" applyNumberFormat="0" applyBorder="0" applyAlignment="0" applyProtection="0">
      <alignment vertical="center"/>
    </xf>
    <xf numFmtId="0" fontId="21" fillId="30" borderId="0" applyNumberFormat="0" applyBorder="0" applyAlignment="0" applyProtection="0">
      <alignment vertical="center"/>
    </xf>
    <xf numFmtId="0" fontId="22" fillId="31" borderId="0" applyNumberFormat="0" applyBorder="0" applyAlignment="0" applyProtection="0">
      <alignment vertical="center"/>
    </xf>
    <xf numFmtId="0" fontId="22" fillId="32" borderId="0" applyNumberFormat="0" applyBorder="0" applyAlignment="0" applyProtection="0">
      <alignment vertical="center"/>
    </xf>
    <xf numFmtId="0" fontId="21" fillId="33" borderId="0" applyNumberFormat="0" applyBorder="0" applyAlignment="0" applyProtection="0">
      <alignment vertical="center"/>
    </xf>
  </cellStyleXfs>
  <cellXfs count="34">
    <xf numFmtId="0" fontId="0" fillId="0" borderId="0" xfId="0">
      <alignment vertical="center"/>
    </xf>
    <xf numFmtId="0" fontId="0" fillId="0" borderId="0" xfId="0" applyAlignment="1">
      <alignment horizontal="center" vertical="center"/>
    </xf>
    <xf numFmtId="0" fontId="0" fillId="0" borderId="0" xfId="0" applyFill="1" applyAlignment="1" applyProtection="1">
      <alignment horizontal="center" vertical="center" wrapText="1"/>
      <protection hidden="1"/>
    </xf>
    <xf numFmtId="176" fontId="0" fillId="0" borderId="0" xfId="0" applyNumberFormat="1" applyFill="1" applyAlignment="1" applyProtection="1">
      <alignment horizontal="right" vertical="center" wrapText="1"/>
      <protection hidden="1"/>
    </xf>
    <xf numFmtId="10" fontId="0" fillId="0" borderId="0" xfId="0" applyNumberFormat="1" applyFill="1" applyAlignment="1" applyProtection="1">
      <alignment horizontal="right" vertical="center" wrapText="1"/>
      <protection hidden="1"/>
    </xf>
    <xf numFmtId="0" fontId="0" fillId="0" borderId="0" xfId="0" applyFill="1">
      <alignment vertical="center"/>
    </xf>
    <xf numFmtId="177" fontId="0" fillId="0" borderId="0" xfId="0" applyNumberFormat="1" applyFill="1">
      <alignment vertical="center"/>
    </xf>
    <xf numFmtId="49" fontId="0" fillId="0" borderId="0" xfId="0" applyNumberFormat="1" applyFill="1">
      <alignment vertical="center"/>
    </xf>
    <xf numFmtId="0" fontId="0" fillId="0" borderId="0" xfId="0" applyNumberFormat="1" applyFill="1">
      <alignment vertical="center"/>
    </xf>
    <xf numFmtId="0" fontId="0" fillId="0" borderId="1" xfId="0" applyFont="1" applyBorder="1" applyAlignment="1">
      <alignment horizontal="center" vertical="center"/>
    </xf>
    <xf numFmtId="0" fontId="1" fillId="0" borderId="1" xfId="0" applyFont="1" applyBorder="1" applyAlignment="1">
      <alignment horizontal="center" vertical="center"/>
    </xf>
    <xf numFmtId="0" fontId="2" fillId="0" borderId="1" xfId="0" applyFont="1" applyFill="1" applyBorder="1" applyAlignment="1">
      <alignment vertical="center" wrapText="1"/>
    </xf>
    <xf numFmtId="176" fontId="2" fillId="2" borderId="1" xfId="0" applyNumberFormat="1" applyFont="1" applyFill="1" applyBorder="1" applyAlignment="1">
      <alignment vertical="center" wrapText="1"/>
    </xf>
    <xf numFmtId="176" fontId="2" fillId="0" borderId="1" xfId="0" applyNumberFormat="1" applyFont="1" applyFill="1" applyBorder="1" applyAlignment="1">
      <alignment vertical="center" wrapText="1"/>
    </xf>
    <xf numFmtId="176" fontId="3" fillId="2" borderId="1" xfId="0" applyNumberFormat="1" applyFont="1" applyFill="1" applyBorder="1" applyAlignment="1">
      <alignment vertical="center" wrapText="1"/>
    </xf>
    <xf numFmtId="0" fontId="0" fillId="2" borderId="1" xfId="0" applyFont="1" applyFill="1" applyBorder="1" applyAlignment="1">
      <alignment horizontal="center" vertical="center"/>
    </xf>
    <xf numFmtId="0" fontId="0" fillId="0" borderId="1" xfId="0" applyBorder="1" applyAlignment="1">
      <alignment horizontal="center" vertical="center"/>
    </xf>
    <xf numFmtId="0" fontId="0" fillId="0" borderId="1" xfId="0" applyFill="1" applyBorder="1" applyAlignment="1"/>
    <xf numFmtId="0" fontId="0" fillId="0" borderId="1" xfId="0" applyFont="1" applyFill="1" applyBorder="1" applyAlignment="1"/>
    <xf numFmtId="176" fontId="0" fillId="0" borderId="1" xfId="0" applyNumberFormat="1" applyFill="1" applyBorder="1" applyAlignment="1"/>
    <xf numFmtId="176" fontId="0" fillId="0" borderId="1" xfId="0" applyNumberFormat="1" applyFill="1" applyBorder="1" applyAlignment="1" applyProtection="1">
      <alignment horizontal="right" vertical="center" wrapText="1"/>
      <protection hidden="1"/>
    </xf>
    <xf numFmtId="10" fontId="2" fillId="2" borderId="1" xfId="0" applyNumberFormat="1" applyFont="1" applyFill="1" applyBorder="1" applyAlignment="1">
      <alignment vertical="center" wrapText="1"/>
    </xf>
    <xf numFmtId="0" fontId="2" fillId="3" borderId="1" xfId="0" applyFont="1" applyFill="1" applyBorder="1" applyAlignment="1">
      <alignment vertical="center" wrapText="1"/>
    </xf>
    <xf numFmtId="177" fontId="2" fillId="3" borderId="1" xfId="0" applyNumberFormat="1" applyFont="1" applyFill="1" applyBorder="1" applyAlignment="1">
      <alignment vertical="center" wrapText="1"/>
    </xf>
    <xf numFmtId="49" fontId="2" fillId="3" borderId="1" xfId="0" applyNumberFormat="1" applyFont="1" applyFill="1" applyBorder="1" applyAlignment="1">
      <alignment vertical="center" wrapText="1"/>
    </xf>
    <xf numFmtId="0" fontId="2" fillId="3" borderId="1" xfId="0" applyNumberFormat="1" applyFont="1" applyFill="1" applyBorder="1" applyAlignment="1">
      <alignment vertical="center" wrapText="1"/>
    </xf>
    <xf numFmtId="0" fontId="3" fillId="2" borderId="1" xfId="0" applyFont="1" applyFill="1" applyBorder="1" applyAlignment="1">
      <alignment vertical="center" wrapText="1"/>
    </xf>
    <xf numFmtId="0" fontId="2" fillId="2" borderId="1" xfId="0" applyFont="1" applyFill="1" applyBorder="1" applyAlignment="1">
      <alignment vertical="center" wrapText="1"/>
    </xf>
    <xf numFmtId="10" fontId="0" fillId="0" borderId="1" xfId="0" applyNumberFormat="1" applyFill="1" applyBorder="1" applyAlignment="1" applyProtection="1">
      <alignment horizontal="right" vertical="center" wrapText="1"/>
      <protection hidden="1"/>
    </xf>
    <xf numFmtId="14" fontId="0" fillId="0" borderId="1" xfId="0" applyNumberFormat="1" applyFill="1" applyBorder="1" applyAlignment="1">
      <alignment vertical="center"/>
    </xf>
    <xf numFmtId="177" fontId="0" fillId="0" borderId="1" xfId="0" applyNumberFormat="1" applyFill="1" applyBorder="1" applyAlignment="1">
      <alignment vertical="center"/>
    </xf>
    <xf numFmtId="49" fontId="0" fillId="0" borderId="1" xfId="0" applyNumberFormat="1" applyFont="1" applyFill="1" applyBorder="1" applyAlignment="1">
      <alignment vertical="center"/>
    </xf>
    <xf numFmtId="0" fontId="0" fillId="0" borderId="1" xfId="0" applyNumberFormat="1" applyFill="1" applyBorder="1" applyAlignment="1">
      <alignment vertical="center"/>
    </xf>
    <xf numFmtId="0" fontId="0" fillId="0" borderId="1" xfId="0" applyBorder="1">
      <alignment vertical="center"/>
    </xf>
    <xf numFmtId="0" fontId="0" fillId="0" borderId="1" xfId="0" applyFont="1" applyFill="1" applyBorder="1" applyAlignment="1" quotePrefix="1"/>
    <xf numFmtId="0" fontId="0" fillId="0" borderId="1" xfId="0" applyFill="1" applyBorder="1" applyAlignment="1" quotePrefix="1"/>
  </cellXfs>
  <cellStyles count="49">
    <cellStyle name="常规" xfId="0" builtinId="0"/>
    <cellStyle name="千位分隔" xfId="1" builtinId="3"/>
    <cellStyle name="货币" xfId="2" builtinId="4"/>
    <cellStyle name="百分比" xfId="3" builtinId="5"/>
    <cellStyle name="千位分隔[0]" xfId="4" builtinId="6"/>
    <cellStyle name="货币[0]" xfId="5" builtinId="7"/>
    <cellStyle name="超链接" xfId="6" builtinId="8"/>
    <cellStyle name="已访问的超链接" xfId="7" builtinId="9"/>
    <cellStyle name="注释" xfId="8" builtinId="10"/>
    <cellStyle name="警告文本" xfId="9" builtinId="11"/>
    <cellStyle name="标题" xfId="10" builtinId="15"/>
    <cellStyle name="解释性文本" xfId="11" builtinId="53"/>
    <cellStyle name="标题 1" xfId="12" builtinId="16"/>
    <cellStyle name="标题 2" xfId="13" builtinId="17"/>
    <cellStyle name="标题 3" xfId="14" builtinId="18"/>
    <cellStyle name="标题 4" xfId="15" builtinId="19"/>
    <cellStyle name="输入" xfId="16" builtinId="20"/>
    <cellStyle name="输出" xfId="17" builtinId="21"/>
    <cellStyle name="计算" xfId="18" builtinId="22"/>
    <cellStyle name="检查单元格" xfId="19" builtinId="23"/>
    <cellStyle name="链接单元格" xfId="20" builtinId="24"/>
    <cellStyle name="汇总" xfId="21" builtinId="25"/>
    <cellStyle name="好" xfId="22" builtinId="26"/>
    <cellStyle name="差" xfId="23" builtinId="27"/>
    <cellStyle name="适中" xfId="24" builtinId="28"/>
    <cellStyle name="强调文字颜色 1" xfId="25" builtinId="29"/>
    <cellStyle name="20% - 强调文字颜色 1" xfId="26" builtinId="30"/>
    <cellStyle name="40% - 强调文字颜色 1" xfId="27" builtinId="31"/>
    <cellStyle name="60% - 强调文字颜色 1" xfId="28" builtinId="32"/>
    <cellStyle name="强调文字颜色 2" xfId="29" builtinId="33"/>
    <cellStyle name="20% - 强调文字颜色 2" xfId="30" builtinId="34"/>
    <cellStyle name="40% - 强调文字颜色 2" xfId="31" builtinId="35"/>
    <cellStyle name="60% - 强调文字颜色 2" xfId="32" builtinId="36"/>
    <cellStyle name="强调文字颜色 3" xfId="33" builtinId="37"/>
    <cellStyle name="20% - 强调文字颜色 3" xfId="34" builtinId="38"/>
    <cellStyle name="40% - 强调文字颜色 3" xfId="35" builtinId="39"/>
    <cellStyle name="60% - 强调文字颜色 3" xfId="36" builtinId="40"/>
    <cellStyle name="强调文字颜色 4" xfId="37" builtinId="41"/>
    <cellStyle name="20% - 强调文字颜色 4" xfId="38" builtinId="42"/>
    <cellStyle name="40% - 强调文字颜色 4" xfId="39" builtinId="43"/>
    <cellStyle name="60% - 强调文字颜色 4" xfId="40" builtinId="44"/>
    <cellStyle name="强调文字颜色 5" xfId="41" builtinId="45"/>
    <cellStyle name="20% - 强调文字颜色 5" xfId="42" builtinId="46"/>
    <cellStyle name="40% - 强调文字颜色 5" xfId="43" builtinId="47"/>
    <cellStyle name="60% - 强调文字颜色 5" xfId="44" builtinId="48"/>
    <cellStyle name="强调文字颜色 6" xfId="45" builtinId="49"/>
    <cellStyle name="20% - 强调文字颜色 6" xfId="46" builtinId="50"/>
    <cellStyle name="40% - 强调文字颜色 6" xfId="47" builtinId="51"/>
    <cellStyle name="60% - 强调文字颜色 6" xfId="48" builtinId="52"/>
  </cellStyles>
  <dxfs count="17">
    <dxf>
      <fill>
        <patternFill patternType="solid">
          <fgColor theme="4" tint="0.799981688894314"/>
          <bgColor theme="4" tint="0.799981688894314"/>
        </patternFill>
      </fill>
    </dxf>
    <dxf>
      <fill>
        <patternFill patternType="solid">
          <fgColor theme="4" tint="0.799981688894314"/>
          <bgColor theme="4" tint="0.799981688894314"/>
        </patternFill>
      </fill>
    </dxf>
    <dxf>
      <font>
        <b val="1"/>
        <color theme="1"/>
      </font>
    </dxf>
    <dxf>
      <font>
        <b val="1"/>
        <color theme="1"/>
      </font>
    </dxf>
    <dxf>
      <font>
        <b val="1"/>
        <color theme="1"/>
      </font>
      <border>
        <top style="double">
          <color theme="4"/>
        </top>
      </border>
    </dxf>
    <dxf>
      <font>
        <b val="1"/>
        <color theme="0"/>
      </font>
      <fill>
        <patternFill patternType="solid">
          <fgColor theme="4"/>
          <bgColor theme="4"/>
        </patternFill>
      </fill>
    </dxf>
    <dxf>
      <font>
        <color theme="1"/>
      </font>
      <border>
        <left style="thin">
          <color theme="4"/>
        </left>
        <right style="thin">
          <color theme="4"/>
        </right>
        <top style="thin">
          <color theme="4"/>
        </top>
        <bottom style="thin">
          <color theme="4"/>
        </bottom>
        <horizontal style="thin">
          <color theme="4" tint="0.399975585192419"/>
        </horizontal>
      </border>
    </dxf>
    <dxf>
      <fill>
        <patternFill patternType="solid">
          <fgColor theme="4" tint="0.799981688894314"/>
          <bgColor theme="4" tint="0.799981688894314"/>
        </patternFill>
      </fill>
      <border>
        <bottom style="thin">
          <color theme="4" tint="0.399975585192419"/>
        </bottom>
      </border>
    </dxf>
    <dxf>
      <font>
        <b val="1"/>
      </font>
      <fill>
        <patternFill patternType="solid">
          <fgColor theme="4" tint="0.799981688894314"/>
          <bgColor theme="4" tint="0.799981688894314"/>
        </patternFill>
      </fill>
      <border>
        <bottom style="thin">
          <color theme="4" tint="0.399975585192419"/>
        </bottom>
      </border>
    </dxf>
    <dxf>
      <font>
        <color theme="1"/>
      </font>
    </dxf>
    <dxf>
      <font>
        <color theme="1"/>
      </font>
      <border>
        <bottom style="thin">
          <color theme="4" tint="0.399975585192419"/>
        </bottom>
      </border>
    </dxf>
    <dxf>
      <font>
        <b val="1"/>
        <color theme="1"/>
      </font>
    </dxf>
    <dxf>
      <font>
        <b val="1"/>
        <color theme="1"/>
      </font>
      <border>
        <top style="thin">
          <color theme="4"/>
        </top>
        <bottom style="thin">
          <color theme="4"/>
        </bottom>
      </border>
    </dxf>
    <dxf>
      <fill>
        <patternFill patternType="solid">
          <fgColor theme="4" tint="0.799981688894314"/>
          <bgColor theme="4" tint="0.799981688894314"/>
        </patternFill>
      </fill>
    </dxf>
    <dxf>
      <fill>
        <patternFill patternType="solid">
          <fgColor theme="4" tint="0.799981688894314"/>
          <bgColor theme="4" tint="0.799981688894314"/>
        </patternFill>
      </fill>
    </dxf>
    <dxf>
      <font>
        <b val="1"/>
        <color theme="1"/>
      </font>
      <fill>
        <patternFill patternType="solid">
          <fgColor theme="4" tint="0.799981688894314"/>
          <bgColor theme="4" tint="0.799981688894314"/>
        </patternFill>
      </fill>
      <border>
        <top style="thin">
          <color theme="4" tint="0.399975585192419"/>
        </top>
        <bottom style="thin">
          <color theme="4" tint="0.399975585192419"/>
        </bottom>
      </border>
    </dxf>
    <dxf>
      <font>
        <b val="1"/>
        <color theme="1"/>
      </font>
      <fill>
        <patternFill patternType="solid">
          <fgColor theme="4" tint="0.799981688894314"/>
          <bgColor theme="4" tint="0.799981688894314"/>
        </patternFill>
      </fill>
      <border>
        <bottom style="thin">
          <color theme="4" tint="0.399975585192419"/>
        </bottom>
      </border>
    </dxf>
  </dxfs>
  <tableStyles count="2" defaultTableStyle="TableStylePreset3_Accent1" defaultPivotStyle="PivotStylePreset2_Accent1">
    <tableStyle name="TableStylePreset3_Accent1" pivot="0" count="7" xr9:uid="{59DB682C-5494-4EDE-A608-00C9E5F0F923}">
      <tableStyleElement type="wholeTable" dxfId="6"/>
      <tableStyleElement type="headerRow" dxfId="5"/>
      <tableStyleElement type="totalRow" dxfId="4"/>
      <tableStyleElement type="firstColumn" dxfId="3"/>
      <tableStyleElement type="lastColumn" dxfId="2"/>
      <tableStyleElement type="firstRowStripe" dxfId="1"/>
      <tableStyleElement type="firstColumnStripe" dxfId="0"/>
    </tableStyle>
    <tableStyle name="PivotStylePreset2_Accent1" table="0" count="10" xr9:uid="{267968C8-6FFD-4C36-ACC1-9EA1FD1885CA}">
      <tableStyleElement type="headerRow" dxfId="16"/>
      <tableStyleElement type="totalRow" dxfId="15"/>
      <tableStyleElement type="firstRowStripe" dxfId="14"/>
      <tableStyleElement type="firstColumnStripe" dxfId="13"/>
      <tableStyleElement type="firstSubtotalRow" dxfId="12"/>
      <tableStyleElement type="secondSubtotalRow" dxfId="11"/>
      <tableStyleElement type="firstRowSubheading" dxfId="10"/>
      <tableStyleElement type="secondRowSubheading" dxfId="9"/>
      <tableStyleElement type="pageFieldLabels" dxfId="8"/>
      <tableStyleElement type="pageFieldValues" dxfId="7"/>
    </tableStyle>
  </tableStyles>
  <extLst>
    <ext xmlns:x14="http://schemas.microsoft.com/office/spreadsheetml/2009/9/main" uri="{EB79DEF2-80B8-43e5-95BD-54CBDDF9020C}">
      <x14:slicerStyles defaultSlicerStyle="SlicerStyleLight1"/>
    </ext>
  </extLst>
</styleSheet>
</file>

<file path=xl/_rels/workbook.xml.rels><?xml version="1.0" encoding="UTF-8" standalone="yes"?>
<Relationships xmlns="http://schemas.openxmlformats.org/package/2006/relationships"><Relationship Id="rId4" Type="http://schemas.openxmlformats.org/officeDocument/2006/relationships/styles" Target="styles.xml"/><Relationship Id="rId3" Type="http://schemas.openxmlformats.org/officeDocument/2006/relationships/sharedStrings" Target="sharedString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WPS">
  <a:themeElements>
    <a:clrScheme name="WPS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874CB"/>
      </a:accent1>
      <a:accent2>
        <a:srgbClr val="EE822F"/>
      </a:accent2>
      <a:accent3>
        <a:srgbClr val="F2BA02"/>
      </a:accent3>
      <a:accent4>
        <a:srgbClr val="75BD42"/>
      </a:accent4>
      <a:accent5>
        <a:srgbClr val="30C0B4"/>
      </a:accent5>
      <a:accent6>
        <a:srgbClr val="E54C5E"/>
      </a:accent6>
      <a:hlink>
        <a:srgbClr val="0026E5"/>
      </a:hlink>
      <a:folHlink>
        <a:srgbClr val="7E1FAD"/>
      </a:folHlink>
    </a:clrScheme>
    <a:fontScheme name="WPS">
      <a:majorFont>
        <a:latin typeface="Calibri Light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WPS">
      <a:fillStyleLst>
        <a:solidFill>
          <a:schemeClr val="phClr"/>
        </a:solidFill>
        <a:gradFill>
          <a:gsLst>
            <a:gs pos="0">
              <a:schemeClr val="phClr">
                <a:lumOff val="17500"/>
              </a:schemeClr>
            </a:gs>
            <a:gs pos="100000">
              <a:schemeClr val="phClr"/>
            </a:gs>
          </a:gsLst>
          <a:lin ang="2700000" scaled="0"/>
        </a:gradFill>
        <a:gradFill>
          <a:gsLst>
            <a:gs pos="0">
              <a:schemeClr val="phClr">
                <a:hueOff val="-2520000"/>
              </a:schemeClr>
            </a:gs>
            <a:gs pos="100000">
              <a:schemeClr val="phClr"/>
            </a:gs>
          </a:gsLst>
          <a:lin ang="27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gradFill>
            <a:gsLst>
              <a:gs pos="0">
                <a:schemeClr val="phClr">
                  <a:hueOff val="-4200000"/>
                </a:schemeClr>
              </a:gs>
              <a:gs pos="100000">
                <a:schemeClr val="phClr"/>
              </a:gs>
            </a:gsLst>
            <a:lin ang="2700000" scaled="1"/>
          </a:gradFill>
          <a:prstDash val="solid"/>
          <a:miter lim="800000"/>
        </a:ln>
      </a:lnStyleLst>
      <a:effectStyleLst>
        <a:effectStyle>
          <a:effectLst>
            <a:outerShdw blurRad="101600" dist="50800" dir="5400000" algn="ctr" rotWithShape="0">
              <a:schemeClr val="phClr">
                <a:alpha val="60000"/>
              </a:schemeClr>
            </a:outerShdw>
          </a:effectLst>
        </a:effectStyle>
        <a:effectStyle>
          <a:effectLst>
            <a:reflection stA="50000" endA="300" endPos="40000" dist="25400" dir="5400000" sy="-100000" algn="bl" rotWithShape="0"/>
          </a:effectLst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</a:theme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N5"/>
  <sheetViews>
    <sheetView tabSelected="1" workbookViewId="0">
      <selection activeCell="D11" sqref="D11"/>
    </sheetView>
  </sheetViews>
  <sheetFormatPr defaultColWidth="9" defaultRowHeight="14.4" outlineLevelRow="4"/>
  <cols>
    <col min="1" max="1" width="9" style="1"/>
    <col min="2" max="2" width="28" style="1" customWidth="1"/>
    <col min="3" max="3" width="32.7777777777778" style="2" customWidth="1"/>
    <col min="4" max="5" width="17.7777777777778" style="2" customWidth="1"/>
    <col min="6" max="7" width="17.7777777777778" style="3" customWidth="1"/>
    <col min="8" max="8" width="23" style="3" customWidth="1"/>
    <col min="9" max="9" width="17.7777777777778" style="4" customWidth="1"/>
    <col min="10" max="10" width="17.7777777777778" style="5" customWidth="1"/>
    <col min="11" max="11" width="17.7777777777778" style="6" customWidth="1"/>
    <col min="12" max="12" width="17.7777777777778" style="7" customWidth="1"/>
    <col min="13" max="13" width="17.7777777777778" style="8" hidden="1" customWidth="1"/>
    <col min="14" max="14" width="25.3333333333333" customWidth="1"/>
  </cols>
  <sheetData>
    <row r="1" ht="57.6" spans="1:14">
      <c r="A1" s="9"/>
      <c r="B1" s="10" t="s">
        <v>0</v>
      </c>
      <c r="C1" s="11" t="s">
        <v>1</v>
      </c>
      <c r="D1" s="11"/>
      <c r="E1" s="11"/>
      <c r="F1" s="12" t="s">
        <v>2</v>
      </c>
      <c r="G1" s="13"/>
      <c r="H1" s="14" t="s">
        <v>3</v>
      </c>
      <c r="I1" s="21" t="s">
        <v>4</v>
      </c>
      <c r="J1" s="22" t="s">
        <v>5</v>
      </c>
      <c r="K1" s="23" t="s">
        <v>6</v>
      </c>
      <c r="L1" s="24" t="s">
        <v>7</v>
      </c>
      <c r="M1" s="25" t="s">
        <v>8</v>
      </c>
      <c r="N1" s="26" t="s">
        <v>9</v>
      </c>
    </row>
    <row r="2" ht="28.8" spans="1:14">
      <c r="A2" s="9" t="s">
        <v>10</v>
      </c>
      <c r="B2" s="15" t="s">
        <v>11</v>
      </c>
      <c r="C2" s="11" t="s">
        <v>12</v>
      </c>
      <c r="D2" s="11" t="s">
        <v>13</v>
      </c>
      <c r="E2" s="11" t="s">
        <v>14</v>
      </c>
      <c r="F2" s="12" t="s">
        <v>15</v>
      </c>
      <c r="G2" s="13" t="s">
        <v>16</v>
      </c>
      <c r="H2" s="12" t="s">
        <v>17</v>
      </c>
      <c r="I2" s="21" t="s">
        <v>18</v>
      </c>
      <c r="J2" s="22" t="s">
        <v>19</v>
      </c>
      <c r="K2" s="23" t="s">
        <v>20</v>
      </c>
      <c r="L2" s="24" t="s">
        <v>21</v>
      </c>
      <c r="M2" s="25" t="s">
        <v>22</v>
      </c>
      <c r="N2" s="27" t="s">
        <v>23</v>
      </c>
    </row>
    <row r="3" spans="1:14">
      <c r="A3" s="16">
        <v>1</v>
      </c>
      <c r="B3" s="17" t="s">
        <v>24</v>
      </c>
      <c r="C3" s="17" t="str">
        <f>IF(B3="北京新能源汽车股份有限公司","北汽新能源",IF(B3="北京汽车股份有限公司","北汽股份","研究总院"))</f>
        <v>北汽股份</v>
      </c>
      <c r="D3" s="17" t="s">
        <v>25</v>
      </c>
      <c r="E3" s="34" t="s">
        <v>26</v>
      </c>
      <c r="F3" s="19">
        <v>996930</v>
      </c>
      <c r="G3" s="20">
        <v>659002</v>
      </c>
      <c r="H3" s="20">
        <f>F3-G3</f>
        <v>337928</v>
      </c>
      <c r="I3" s="28">
        <f>IFERROR(H3/F3,0)</f>
        <v>0.338968633705476</v>
      </c>
      <c r="J3" s="29"/>
      <c r="K3" s="30">
        <v>45894.3854166667</v>
      </c>
      <c r="L3" s="31" t="s">
        <v>27</v>
      </c>
      <c r="M3" s="32"/>
      <c r="N3" s="33">
        <v>20</v>
      </c>
    </row>
    <row r="4" spans="1:14">
      <c r="A4" s="16">
        <v>2</v>
      </c>
      <c r="B4" s="17" t="s">
        <v>28</v>
      </c>
      <c r="C4" s="17" t="str">
        <f>IF(B4="北京新能源汽车股份有限公司","北汽新能源",IF(B4="北京汽车股份有限公司","北汽股份","研究总院"))</f>
        <v>北汽新能源</v>
      </c>
      <c r="D4" s="17" t="s">
        <v>29</v>
      </c>
      <c r="E4" s="35" t="s">
        <v>30</v>
      </c>
      <c r="F4" s="19">
        <v>3510000</v>
      </c>
      <c r="G4" s="20">
        <v>4276319.84</v>
      </c>
      <c r="H4" s="20">
        <f>F4-G4</f>
        <v>-766319.84</v>
      </c>
      <c r="I4" s="28">
        <f>IFERROR(H4/F4,0)</f>
        <v>-0.218324740740741</v>
      </c>
      <c r="J4" s="29"/>
      <c r="K4" s="30">
        <v>45889.3729166667</v>
      </c>
      <c r="L4" s="31" t="s">
        <v>27</v>
      </c>
      <c r="M4" s="32"/>
      <c r="N4" s="33">
        <v>12</v>
      </c>
    </row>
    <row r="5" spans="1:14">
      <c r="A5" s="16">
        <v>3</v>
      </c>
      <c r="B5" s="17" t="s">
        <v>24</v>
      </c>
      <c r="C5" s="17" t="str">
        <f>IF(B5="北京新能源汽车股份有限公司","北汽新能源",IF(B5="北京汽车股份有限公司","北汽股份","研究总院"))</f>
        <v>北汽股份</v>
      </c>
      <c r="D5" s="17" t="s">
        <v>25</v>
      </c>
      <c r="E5" s="35" t="s">
        <v>31</v>
      </c>
      <c r="F5" s="19">
        <v>0</v>
      </c>
      <c r="G5" s="20">
        <v>0</v>
      </c>
      <c r="H5" s="20">
        <f>F5-G5</f>
        <v>0</v>
      </c>
      <c r="I5" s="28">
        <f>IFERROR(H5/F5,0)</f>
        <v>0</v>
      </c>
      <c r="J5" s="29"/>
      <c r="K5" s="30">
        <v>45896.4451388889</v>
      </c>
      <c r="L5" s="31" t="s">
        <v>27</v>
      </c>
      <c r="M5" s="32"/>
      <c r="N5" s="33">
        <v>6</v>
      </c>
    </row>
  </sheetData>
  <autoFilter xmlns:etc="http://www.wps.cn/officeDocument/2017/etCustomData" ref="A2:N5" etc:filterBottomFollowUsedRange="0">
    <extLst/>
  </autoFilter>
  <sortState ref="A2:O590">
    <sortCondition ref="A2:A590"/>
  </sortState>
  <pageMargins left="0.7" right="0.7" top="0.75" bottom="0.75" header="0.3" footer="0.3"/>
  <pageSetup paperSize="9" orientation="portrait"/>
  <headerFooter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HeadingPairs>
    <vt:vector size="2" baseType="variant">
      <vt:variant>
        <vt:lpstr>工作表</vt:lpstr>
      </vt:variant>
      <vt:variant>
        <vt:i4>1</vt:i4>
      </vt:variant>
    </vt:vector>
  </HeadingPairs>
  <TitlesOfParts>
    <vt:vector size="1" baseType="lpstr">
      <vt:lpstr>模版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Moopa</dc:creator>
  <cp:lastModifiedBy>oki、doki</cp:lastModifiedBy>
  <dcterms:created xsi:type="dcterms:W3CDTF">2025-08-18T01:33:00Z</dcterms:created>
  <dcterms:modified xsi:type="dcterms:W3CDTF">2025-10-18T04:47:47Z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ICV">
    <vt:lpwstr>1F6F72FE655546E98ED0C8C3373E84A7_13</vt:lpwstr>
  </property>
  <property fmtid="{D5CDD505-2E9C-101B-9397-08002B2CF9AE}" pid="3" name="KSOProductBuildVer">
    <vt:lpwstr>2052-12.1.0.23125</vt:lpwstr>
  </property>
</Properties>
</file>