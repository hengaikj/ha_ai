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成本履历导入模版-有配额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oki、doki</author>
  </authors>
  <commentList>
    <comment ref="Z4" authorId="0">
      <text>
        <r>
          <rPr>
            <b/>
            <sz val="9"/>
            <rFont val="宋体"/>
            <charset val="134"/>
          </rPr>
          <t>41978: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需按照:设计成本部38个系统规划划分,填写。
（填写不规范，无法按二级分类分配数据权限到个人）</t>
        </r>
      </text>
    </comment>
  </commentList>
</comments>
</file>

<file path=xl/sharedStrings.xml><?xml version="1.0" encoding="utf-8"?>
<sst xmlns="http://schemas.openxmlformats.org/spreadsheetml/2006/main" count="166" uniqueCount="133">
  <si>
    <t>*项目代号</t>
  </si>
  <si>
    <t>请输入项目代号</t>
  </si>
  <si>
    <t>*工厂代码</t>
  </si>
  <si>
    <t>请输入工厂代码</t>
  </si>
  <si>
    <t>* 1个零件对应1条数据，请勿填入重复零件</t>
  </si>
  <si>
    <t>百分比</t>
  </si>
  <si>
    <t>一级分类</t>
  </si>
  <si>
    <t>权限控制</t>
  </si>
  <si>
    <t>取最新轮次</t>
  </si>
  <si>
    <t>出厂价+包装费+运费</t>
  </si>
  <si>
    <t>人工填写/BOM生成</t>
  </si>
  <si>
    <t>人工填写
/BOM生成</t>
  </si>
  <si>
    <t>人工填写</t>
  </si>
  <si>
    <t>系统抓取</t>
  </si>
  <si>
    <t>系统自动计算</t>
  </si>
  <si>
    <t>基本信息</t>
  </si>
  <si>
    <t>分类</t>
  </si>
  <si>
    <t>BOM补充信息</t>
  </si>
  <si>
    <t>分工</t>
  </si>
  <si>
    <t>单车用量</t>
  </si>
  <si>
    <t>目标值</t>
  </si>
  <si>
    <t>初始评估值</t>
  </si>
  <si>
    <t>评估值</t>
  </si>
  <si>
    <t>轮次报价</t>
  </si>
  <si>
    <t>上会价</t>
  </si>
  <si>
    <t>SRM价格</t>
  </si>
  <si>
    <t>当前成本</t>
  </si>
  <si>
    <t>各版型目标成本统计(不含摊销)</t>
  </si>
  <si>
    <t>各版型当前成本统计(不含摊销)</t>
  </si>
  <si>
    <t>各版型当前成本统计(含摊销)</t>
  </si>
  <si>
    <t>各版型当前成本包装费统计</t>
  </si>
  <si>
    <t>各版型当前成本运费统计</t>
  </si>
  <si>
    <t>序号</t>
  </si>
  <si>
    <t>SOR号</t>
  </si>
  <si>
    <t>SOR名称</t>
  </si>
  <si>
    <t>ECR号</t>
  </si>
  <si>
    <t>ECR名称</t>
  </si>
  <si>
    <t>IA号</t>
  </si>
  <si>
    <t>IA名称</t>
  </si>
  <si>
    <t>装配级别</t>
  </si>
  <si>
    <t>零件号</t>
  </si>
  <si>
    <t>零件名称</t>
  </si>
  <si>
    <t>零部件关键技术状态描述</t>
  </si>
  <si>
    <t>单位</t>
  </si>
  <si>
    <t>模块标识</t>
  </si>
  <si>
    <t>首用车型</t>
  </si>
  <si>
    <t>配额
(SRM)</t>
  </si>
  <si>
    <t>供应商名称</t>
  </si>
  <si>
    <t>通用化级别</t>
  </si>
  <si>
    <t>是否架构件</t>
  </si>
  <si>
    <t>建议货源</t>
  </si>
  <si>
    <t>货源描述</t>
  </si>
  <si>
    <t>结构货源</t>
  </si>
  <si>
    <t>结构货源描述</t>
  </si>
  <si>
    <t>研发专业部门</t>
  </si>
  <si>
    <t>专业工程师</t>
  </si>
  <si>
    <t>零件属性</t>
  </si>
  <si>
    <t>成本专业科室</t>
  </si>
  <si>
    <t>成本二级分类</t>
  </si>
  <si>
    <t>成本三级分类</t>
  </si>
  <si>
    <t>成本工程师</t>
  </si>
  <si>
    <t>采购工程师</t>
  </si>
  <si>
    <t>版型001</t>
  </si>
  <si>
    <t>版型002</t>
  </si>
  <si>
    <t>目标-备注</t>
  </si>
  <si>
    <t>评估-出厂价</t>
  </si>
  <si>
    <t>评估-包装费</t>
  </si>
  <si>
    <t>评估-运费</t>
  </si>
  <si>
    <t>评估-数据来源</t>
  </si>
  <si>
    <t>询报价轮次</t>
  </si>
  <si>
    <t>报价-供应商名称</t>
  </si>
  <si>
    <t>报价-出厂价格</t>
  </si>
  <si>
    <t>报价-包装</t>
  </si>
  <si>
    <t>报价-物流</t>
  </si>
  <si>
    <t>当前上会最新单号
（采购）</t>
  </si>
  <si>
    <t>议题类型（采购）</t>
  </si>
  <si>
    <t>采购专业
（采购）</t>
  </si>
  <si>
    <t>采购工程师
（采购）</t>
  </si>
  <si>
    <t>供应商编码
（采购）</t>
  </si>
  <si>
    <t>供应商
（采购）</t>
  </si>
  <si>
    <t>定点会次
（采购）</t>
  </si>
  <si>
    <t>定点成本（采购）</t>
  </si>
  <si>
    <t>配额
（采购）</t>
  </si>
  <si>
    <t>商务降本</t>
  </si>
  <si>
    <t>备注（采购）</t>
  </si>
  <si>
    <t>SRM价格(含摊销）</t>
  </si>
  <si>
    <t>SRM价格(配额加权-含摊销）</t>
  </si>
  <si>
    <t>SRM价格(不含摊销）</t>
  </si>
  <si>
    <t>SRM价格(配额加权-不含摊销）</t>
  </si>
  <si>
    <t>SRM-工装模具-摊销数量</t>
  </si>
  <si>
    <t>SRM-技术开发-摊销数量</t>
  </si>
  <si>
    <t>SRM-包装费</t>
  </si>
  <si>
    <t>SRM-运费</t>
  </si>
  <si>
    <t>SRM-数据来源</t>
  </si>
  <si>
    <t>材料成本(含摊销)</t>
  </si>
  <si>
    <t>材料成本(不含摊销)</t>
  </si>
  <si>
    <t>当前-工装模具-摊销数量</t>
  </si>
  <si>
    <t>当前-技术开发-摊销数量</t>
  </si>
  <si>
    <t>当前-包装费</t>
  </si>
  <si>
    <t>当前-运费</t>
  </si>
  <si>
    <t>当前-数据来源</t>
  </si>
  <si>
    <t>当前-摊销金额</t>
  </si>
  <si>
    <t>当前-备注</t>
  </si>
  <si>
    <t>加权</t>
  </si>
  <si>
    <t>出厂价（采购）</t>
  </si>
  <si>
    <t>包装费（采购）</t>
  </si>
  <si>
    <t>运费（采购）</t>
  </si>
  <si>
    <t>不含摊销价（采购）</t>
  </si>
  <si>
    <t>工装模具摊销费</t>
  </si>
  <si>
    <t>设计开发摊销费</t>
  </si>
  <si>
    <t>入厂价（采购）</t>
  </si>
  <si>
    <t>摊销工装模具费
（元/不含税）</t>
  </si>
  <si>
    <t>单独支付工装模具费
（元/不含税）</t>
  </si>
  <si>
    <t>摊销设计开发费
（元/不含税）</t>
  </si>
  <si>
    <t>单独支付设计开发费（元/不含税）</t>
  </si>
  <si>
    <t>摊销基数
（个）</t>
  </si>
  <si>
    <t>03</t>
  </si>
  <si>
    <t>A000001</t>
  </si>
  <si>
    <t>XX零件1</t>
  </si>
  <si>
    <t>PC</t>
  </si>
  <si>
    <t>C</t>
  </si>
  <si>
    <t>国内采购件</t>
  </si>
  <si>
    <t>1</t>
  </si>
  <si>
    <t>A000002</t>
  </si>
  <si>
    <t>XX零件2</t>
  </si>
  <si>
    <t>G</t>
  </si>
  <si>
    <t>04</t>
  </si>
  <si>
    <t>A000003</t>
  </si>
  <si>
    <t>XX零件3</t>
  </si>
  <si>
    <t>KG</t>
  </si>
  <si>
    <t>A000004</t>
  </si>
  <si>
    <t>XX零件4</t>
  </si>
  <si>
    <t>1、一个零件只能填写一条，请勿填写重复零件
2、所有金额转换为两位小数
3、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</si>
</sst>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1D]d\ mmmm\ /yy;@"/>
    <numFmt numFmtId="177" formatCode="_-[$€-2]* #,##0.00_-;\-[$€-2]* #,##0.00_-;_-[$€-2]* &quot;-&quot;??_-"/>
    <numFmt numFmtId="178" formatCode="_(* #,##0.00_);_(* \(#,##0.00\);_(* &quot;-&quot;??_);_(@_)"/>
    <numFmt numFmtId="179" formatCode="#,##0.00_ "/>
  </numFmts>
  <fonts count="37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trike/>
      <sz val="9"/>
      <name val="微软雅黑"/>
      <charset val="134"/>
    </font>
    <font>
      <sz val="9"/>
      <color rgb="FFFF0000"/>
      <name val="微软雅黑"/>
      <charset val="134"/>
    </font>
    <font>
      <b/>
      <sz val="9"/>
      <name val="微软雅黑"/>
      <charset val="134"/>
    </font>
    <font>
      <b/>
      <sz val="10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sz val="9"/>
      <color indexed="8"/>
      <name val="微软雅黑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b/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2" tint="-0.0999786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10" applyNumberFormat="0" applyAlignment="0" applyProtection="0">
      <alignment vertical="center"/>
    </xf>
    <xf numFmtId="0" fontId="22" fillId="16" borderId="11" applyNumberFormat="0" applyAlignment="0" applyProtection="0">
      <alignment vertical="center"/>
    </xf>
    <xf numFmtId="0" fontId="23" fillId="16" borderId="10" applyNumberFormat="0" applyAlignment="0" applyProtection="0">
      <alignment vertical="center"/>
    </xf>
    <xf numFmtId="0" fontId="24" fillId="17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176" fontId="0" fillId="0" borderId="0">
      <alignment vertical="center"/>
    </xf>
    <xf numFmtId="176" fontId="33" fillId="0" borderId="0">
      <alignment vertical="top"/>
    </xf>
    <xf numFmtId="0" fontId="34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125"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0" xfId="59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2" fillId="0" borderId="0" xfId="59" applyNumberFormat="1" applyFont="1" applyFill="1" applyBorder="1" applyAlignment="1">
      <alignment vertical="center"/>
    </xf>
    <xf numFmtId="0" fontId="3" fillId="0" borderId="0" xfId="59" applyNumberFormat="1" applyFont="1" applyFill="1" applyBorder="1" applyAlignment="1">
      <alignment vertical="center"/>
    </xf>
    <xf numFmtId="0" fontId="1" fillId="0" borderId="0" xfId="59" applyNumberFormat="1" applyFont="1" applyFill="1" applyBorder="1" applyAlignment="1">
      <alignment vertical="center"/>
    </xf>
    <xf numFmtId="49" fontId="1" fillId="2" borderId="0" xfId="59" applyNumberFormat="1" applyFont="1" applyFill="1" applyBorder="1" applyAlignment="1">
      <alignment vertical="center"/>
    </xf>
    <xf numFmtId="10" fontId="4" fillId="2" borderId="0" xfId="59" applyNumberFormat="1" applyFont="1" applyFill="1" applyBorder="1" applyAlignment="1">
      <alignment vertical="center"/>
    </xf>
    <xf numFmtId="49" fontId="4" fillId="2" borderId="0" xfId="59" applyNumberFormat="1" applyFont="1" applyFill="1" applyBorder="1" applyAlignment="1">
      <alignment vertical="center"/>
    </xf>
    <xf numFmtId="0" fontId="5" fillId="2" borderId="0" xfId="59" applyNumberFormat="1" applyFont="1" applyFill="1" applyBorder="1" applyAlignment="1">
      <alignment vertical="center"/>
    </xf>
    <xf numFmtId="0" fontId="4" fillId="2" borderId="0" xfId="59" applyNumberFormat="1" applyFont="1" applyFill="1" applyBorder="1" applyAlignment="1">
      <alignment vertical="center"/>
    </xf>
    <xf numFmtId="179" fontId="4" fillId="2" borderId="0" xfId="58" applyNumberFormat="1" applyFont="1" applyFill="1" applyBorder="1" applyAlignment="1">
      <alignment vertical="center"/>
    </xf>
    <xf numFmtId="49" fontId="4" fillId="2" borderId="0" xfId="58" applyNumberFormat="1" applyFont="1" applyFill="1" applyBorder="1" applyAlignment="1">
      <alignment vertical="center"/>
    </xf>
    <xf numFmtId="179" fontId="1" fillId="2" borderId="0" xfId="58" applyNumberFormat="1" applyFont="1" applyFill="1" applyBorder="1" applyAlignment="1">
      <alignment horizontal="center" vertical="center"/>
    </xf>
    <xf numFmtId="49" fontId="1" fillId="2" borderId="0" xfId="58" applyNumberFormat="1" applyFont="1" applyFill="1" applyBorder="1" applyAlignment="1">
      <alignment horizontal="center" vertical="center"/>
    </xf>
    <xf numFmtId="179" fontId="4" fillId="2" borderId="0" xfId="58" applyNumberFormat="1" applyFont="1" applyFill="1" applyBorder="1" applyAlignment="1">
      <alignment horizontal="center" vertical="center"/>
    </xf>
    <xf numFmtId="179" fontId="1" fillId="2" borderId="0" xfId="59" applyNumberFormat="1" applyFont="1" applyFill="1" applyBorder="1" applyAlignment="1">
      <alignment horizontal="center" vertical="center"/>
    </xf>
    <xf numFmtId="49" fontId="1" fillId="2" borderId="1" xfId="59" applyNumberFormat="1" applyFont="1" applyFill="1" applyBorder="1" applyAlignment="1">
      <alignment horizontal="left" vertical="center"/>
    </xf>
    <xf numFmtId="49" fontId="6" fillId="2" borderId="1" xfId="51" applyNumberFormat="1" applyFont="1" applyFill="1" applyBorder="1" applyAlignment="1">
      <alignment horizontal="center" vertical="center" wrapText="1" shrinkToFit="1"/>
    </xf>
    <xf numFmtId="49" fontId="1" fillId="2" borderId="1" xfId="59" applyNumberFormat="1" applyFont="1" applyFill="1" applyBorder="1" applyAlignment="1">
      <alignment horizontal="center" vertical="center"/>
    </xf>
    <xf numFmtId="49" fontId="6" fillId="2" borderId="1" xfId="51" applyNumberFormat="1" applyFont="1" applyFill="1" applyBorder="1" applyAlignment="1">
      <alignment horizontal="center" vertical="center" shrinkToFit="1"/>
    </xf>
    <xf numFmtId="49" fontId="1" fillId="2" borderId="2" xfId="59" applyNumberFormat="1" applyFont="1" applyFill="1" applyBorder="1">
      <alignment vertical="center"/>
    </xf>
    <xf numFmtId="49" fontId="6" fillId="2" borderId="3" xfId="59" applyNumberFormat="1" applyFont="1" applyFill="1" applyBorder="1" applyAlignment="1">
      <alignment horizontal="center" vertical="center"/>
    </xf>
    <xf numFmtId="49" fontId="6" fillId="2" borderId="4" xfId="59" applyNumberFormat="1" applyFont="1" applyFill="1" applyBorder="1" applyAlignment="1">
      <alignment horizontal="center" vertical="center"/>
    </xf>
    <xf numFmtId="49" fontId="6" fillId="2" borderId="5" xfId="59" applyNumberFormat="1" applyFont="1" applyFill="1" applyBorder="1" applyAlignment="1">
      <alignment horizontal="center" vertical="center"/>
    </xf>
    <xf numFmtId="10" fontId="4" fillId="2" borderId="2" xfId="59" applyNumberFormat="1" applyFont="1" applyFill="1" applyBorder="1">
      <alignment vertical="center"/>
    </xf>
    <xf numFmtId="49" fontId="4" fillId="2" borderId="2" xfId="59" applyNumberFormat="1" applyFont="1" applyFill="1" applyBorder="1">
      <alignment vertical="center"/>
    </xf>
    <xf numFmtId="49" fontId="7" fillId="2" borderId="2" xfId="59" applyNumberFormat="1" applyFont="1" applyFill="1" applyBorder="1">
      <alignment vertical="center"/>
    </xf>
    <xf numFmtId="49" fontId="4" fillId="3" borderId="2" xfId="59" applyNumberFormat="1" applyFont="1" applyFill="1" applyBorder="1">
      <alignment vertical="center"/>
    </xf>
    <xf numFmtId="0" fontId="5" fillId="2" borderId="2" xfId="59" applyFont="1" applyFill="1" applyBorder="1">
      <alignment vertical="center"/>
    </xf>
    <xf numFmtId="0" fontId="4" fillId="2" borderId="2" xfId="59" applyFont="1" applyFill="1" applyBorder="1">
      <alignment vertical="center"/>
    </xf>
    <xf numFmtId="179" fontId="4" fillId="2" borderId="2" xfId="58" applyNumberFormat="1" applyFont="1" applyFill="1" applyBorder="1">
      <alignment vertical="center"/>
    </xf>
    <xf numFmtId="49" fontId="4" fillId="2" borderId="2" xfId="58" applyNumberFormat="1" applyFont="1" applyFill="1" applyBorder="1">
      <alignment vertical="center"/>
    </xf>
    <xf numFmtId="49" fontId="4" fillId="2" borderId="1" xfId="58" applyNumberFormat="1" applyFont="1" applyFill="1" applyBorder="1">
      <alignment vertical="center"/>
    </xf>
    <xf numFmtId="179" fontId="1" fillId="2" borderId="0" xfId="58" applyNumberFormat="1" applyFont="1" applyFill="1" applyAlignment="1">
      <alignment horizontal="center" vertical="center"/>
    </xf>
    <xf numFmtId="49" fontId="1" fillId="2" borderId="0" xfId="58" applyNumberFormat="1" applyFont="1" applyFill="1" applyAlignment="1">
      <alignment horizontal="center" vertical="center"/>
    </xf>
    <xf numFmtId="179" fontId="4" fillId="2" borderId="0" xfId="58" applyNumberFormat="1" applyFont="1" applyFill="1" applyAlignment="1">
      <alignment horizontal="center" vertical="center"/>
    </xf>
    <xf numFmtId="179" fontId="1" fillId="2" borderId="0" xfId="59" applyNumberFormat="1" applyFont="1" applyFill="1" applyAlignment="1">
      <alignment horizontal="center" vertical="center"/>
    </xf>
    <xf numFmtId="49" fontId="2" fillId="2" borderId="2" xfId="59" applyNumberFormat="1" applyFont="1" applyFill="1" applyBorder="1" applyAlignment="1">
      <alignment horizontal="center" vertical="center"/>
    </xf>
    <xf numFmtId="10" fontId="8" fillId="2" borderId="2" xfId="59" applyNumberFormat="1" applyFont="1" applyFill="1" applyBorder="1" applyAlignment="1">
      <alignment horizontal="center" vertical="center"/>
    </xf>
    <xf numFmtId="49" fontId="8" fillId="2" borderId="2" xfId="59" applyNumberFormat="1" applyFont="1" applyFill="1" applyBorder="1" applyAlignment="1">
      <alignment horizontal="center" vertical="center"/>
    </xf>
    <xf numFmtId="0" fontId="8" fillId="2" borderId="3" xfId="59" applyFont="1" applyFill="1" applyBorder="1" applyAlignment="1">
      <alignment horizontal="center" vertical="center" wrapText="1"/>
    </xf>
    <xf numFmtId="0" fontId="8" fillId="2" borderId="5" xfId="59" applyFont="1" applyFill="1" applyBorder="1" applyAlignment="1">
      <alignment horizontal="center" vertical="center"/>
    </xf>
    <xf numFmtId="179" fontId="8" fillId="2" borderId="2" xfId="58" applyNumberFormat="1" applyFont="1" applyFill="1" applyBorder="1" applyAlignment="1">
      <alignment horizontal="center" vertical="center"/>
    </xf>
    <xf numFmtId="179" fontId="8" fillId="2" borderId="2" xfId="58" applyNumberFormat="1" applyFont="1" applyFill="1" applyBorder="1">
      <alignment vertical="center"/>
    </xf>
    <xf numFmtId="179" fontId="8" fillId="4" borderId="2" xfId="58" applyNumberFormat="1" applyFont="1" applyFill="1" applyBorder="1" applyAlignment="1">
      <alignment horizontal="center" vertical="center"/>
    </xf>
    <xf numFmtId="49" fontId="8" fillId="4" borderId="3" xfId="58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49" fontId="8" fillId="4" borderId="2" xfId="58" applyNumberFormat="1" applyFont="1" applyFill="1" applyBorder="1" applyAlignment="1">
      <alignment horizontal="center" vertical="center"/>
    </xf>
    <xf numFmtId="49" fontId="8" fillId="4" borderId="2" xfId="58" applyNumberFormat="1" applyFont="1" applyFill="1" applyBorder="1" applyAlignment="1">
      <alignment horizontal="center"/>
    </xf>
    <xf numFmtId="49" fontId="8" fillId="0" borderId="2" xfId="58" applyNumberFormat="1" applyFont="1" applyFill="1" applyBorder="1" applyAlignment="1">
      <alignment horizontal="center" vertical="center"/>
    </xf>
    <xf numFmtId="179" fontId="2" fillId="4" borderId="2" xfId="58" applyNumberFormat="1" applyFont="1" applyFill="1" applyBorder="1" applyAlignment="1">
      <alignment horizontal="center" vertical="center"/>
    </xf>
    <xf numFmtId="179" fontId="2" fillId="4" borderId="3" xfId="59" applyNumberFormat="1" applyFont="1" applyFill="1" applyBorder="1" applyAlignment="1">
      <alignment horizontal="center" vertical="center"/>
    </xf>
    <xf numFmtId="179" fontId="2" fillId="4" borderId="4" xfId="59" applyNumberFormat="1" applyFont="1" applyFill="1" applyBorder="1" applyAlignment="1">
      <alignment horizontal="center" vertical="center"/>
    </xf>
    <xf numFmtId="179" fontId="2" fillId="4" borderId="5" xfId="59" applyNumberFormat="1" applyFont="1" applyFill="1" applyBorder="1" applyAlignment="1">
      <alignment horizontal="center" vertical="center"/>
    </xf>
    <xf numFmtId="0" fontId="9" fillId="5" borderId="2" xfId="49" applyFont="1" applyFill="1" applyBorder="1" applyAlignment="1">
      <alignment horizontal="center" vertical="center" wrapText="1"/>
    </xf>
    <xf numFmtId="0" fontId="9" fillId="5" borderId="2" xfId="49" applyFont="1" applyFill="1" applyBorder="1" applyAlignment="1">
      <alignment horizontal="center" vertical="center"/>
    </xf>
    <xf numFmtId="10" fontId="10" fillId="5" borderId="2" xfId="49" applyNumberFormat="1" applyFont="1" applyFill="1" applyBorder="1" applyAlignment="1">
      <alignment horizontal="center" vertical="center"/>
    </xf>
    <xf numFmtId="0" fontId="10" fillId="5" borderId="2" xfId="49" applyFont="1" applyFill="1" applyBorder="1" applyAlignment="1">
      <alignment horizontal="center" vertical="center"/>
    </xf>
    <xf numFmtId="179" fontId="10" fillId="6" borderId="2" xfId="58" applyNumberFormat="1" applyFont="1" applyFill="1" applyBorder="1" applyAlignment="1">
      <alignment horizontal="center" vertical="center" wrapText="1"/>
    </xf>
    <xf numFmtId="179" fontId="10" fillId="7" borderId="2" xfId="58" applyNumberFormat="1" applyFont="1" applyFill="1" applyBorder="1" applyAlignment="1">
      <alignment horizontal="center" vertical="center" wrapText="1"/>
    </xf>
    <xf numFmtId="179" fontId="10" fillId="8" borderId="2" xfId="58" applyNumberFormat="1" applyFont="1" applyFill="1" applyBorder="1" applyAlignment="1">
      <alignment horizontal="center" vertical="center" wrapText="1"/>
    </xf>
    <xf numFmtId="49" fontId="10" fillId="9" borderId="3" xfId="58" applyNumberFormat="1" applyFont="1" applyFill="1" applyBorder="1" applyAlignment="1">
      <alignment horizontal="center" vertical="center" wrapText="1"/>
    </xf>
    <xf numFmtId="49" fontId="10" fillId="7" borderId="3" xfId="0" applyNumberFormat="1" applyFont="1" applyFill="1" applyBorder="1" applyAlignment="1">
      <alignment horizontal="center" vertical="center" wrapText="1"/>
    </xf>
    <xf numFmtId="49" fontId="10" fillId="10" borderId="2" xfId="58" applyNumberFormat="1" applyFont="1" applyFill="1" applyBorder="1" applyAlignment="1">
      <alignment horizontal="center" vertical="center" wrapText="1"/>
    </xf>
    <xf numFmtId="179" fontId="10" fillId="10" borderId="2" xfId="58" applyNumberFormat="1" applyFont="1" applyFill="1" applyBorder="1" applyAlignment="1">
      <alignment horizontal="center" vertical="center"/>
    </xf>
    <xf numFmtId="179" fontId="9" fillId="5" borderId="2" xfId="49" applyNumberFormat="1" applyFont="1" applyFill="1" applyBorder="1" applyAlignment="1">
      <alignment horizontal="center" vertical="center" wrapText="1"/>
    </xf>
    <xf numFmtId="179" fontId="10" fillId="5" borderId="2" xfId="49" applyNumberFormat="1" applyFont="1" applyFill="1" applyBorder="1" applyAlignment="1">
      <alignment horizontal="center" vertical="center" wrapText="1"/>
    </xf>
    <xf numFmtId="0" fontId="11" fillId="0" borderId="2" xfId="49" applyFont="1" applyBorder="1" applyAlignment="1">
      <alignment horizontal="center" vertical="center"/>
    </xf>
    <xf numFmtId="0" fontId="11" fillId="0" borderId="2" xfId="49" applyFont="1" applyBorder="1" applyAlignment="1">
      <alignment horizontal="center" vertical="center" wrapText="1"/>
    </xf>
    <xf numFmtId="10" fontId="4" fillId="4" borderId="2" xfId="49" applyNumberFormat="1" applyFont="1" applyFill="1" applyBorder="1" applyAlignment="1">
      <alignment horizontal="center" vertical="center" wrapText="1"/>
    </xf>
    <xf numFmtId="0" fontId="4" fillId="0" borderId="2" xfId="49" applyFont="1" applyBorder="1" applyAlignment="1">
      <alignment horizontal="center" vertical="center" wrapText="1"/>
    </xf>
    <xf numFmtId="0" fontId="4" fillId="0" borderId="2" xfId="49" applyFont="1" applyBorder="1" applyAlignment="1">
      <alignment horizontal="center" vertical="center"/>
    </xf>
    <xf numFmtId="0" fontId="4" fillId="3" borderId="2" xfId="49" applyFont="1" applyFill="1" applyBorder="1" applyAlignment="1">
      <alignment horizontal="center" vertical="center" wrapText="1"/>
    </xf>
    <xf numFmtId="0" fontId="4" fillId="3" borderId="2" xfId="49" applyFont="1" applyFill="1" applyBorder="1" applyAlignment="1">
      <alignment horizontal="center" vertical="center"/>
    </xf>
    <xf numFmtId="179" fontId="4" fillId="6" borderId="2" xfId="58" applyNumberFormat="1" applyFont="1" applyFill="1" applyBorder="1" applyAlignment="1">
      <alignment horizontal="center" vertical="center" wrapText="1"/>
    </xf>
    <xf numFmtId="179" fontId="4" fillId="7" borderId="2" xfId="58" applyNumberFormat="1" applyFont="1" applyFill="1" applyBorder="1" applyAlignment="1">
      <alignment horizontal="center" vertical="center" wrapText="1"/>
    </xf>
    <xf numFmtId="179" fontId="4" fillId="8" borderId="2" xfId="58" applyNumberFormat="1" applyFont="1" applyFill="1" applyBorder="1" applyAlignment="1">
      <alignment horizontal="center" vertical="center" wrapText="1"/>
    </xf>
    <xf numFmtId="49" fontId="4" fillId="9" borderId="2" xfId="58" applyNumberFormat="1" applyFont="1" applyFill="1" applyBorder="1" applyAlignment="1">
      <alignment horizontal="center" vertical="center"/>
    </xf>
    <xf numFmtId="49" fontId="4" fillId="9" borderId="1" xfId="58" applyNumberFormat="1" applyFont="1" applyFill="1" applyBorder="1" applyAlignment="1">
      <alignment horizontal="center" vertical="center" wrapText="1"/>
    </xf>
    <xf numFmtId="49" fontId="4" fillId="9" borderId="2" xfId="58" applyNumberFormat="1" applyFont="1" applyFill="1" applyBorder="1" applyAlignment="1">
      <alignment horizontal="center" vertical="center" wrapText="1"/>
    </xf>
    <xf numFmtId="49" fontId="4" fillId="7" borderId="2" xfId="0" applyNumberFormat="1" applyFont="1" applyFill="1" applyBorder="1" applyAlignment="1">
      <alignment horizontal="center" vertical="center" wrapText="1"/>
    </xf>
    <xf numFmtId="4" fontId="4" fillId="7" borderId="2" xfId="0" applyNumberFormat="1" applyFont="1" applyFill="1" applyBorder="1" applyAlignment="1">
      <alignment horizontal="center" vertical="center" wrapText="1"/>
    </xf>
    <xf numFmtId="49" fontId="4" fillId="11" borderId="2" xfId="58" applyNumberFormat="1" applyFont="1" applyFill="1" applyBorder="1" applyAlignment="1">
      <alignment horizontal="center" vertical="center" wrapText="1"/>
    </xf>
    <xf numFmtId="49" fontId="4" fillId="3" borderId="2" xfId="58" applyNumberFormat="1" applyFont="1" applyFill="1" applyBorder="1" applyAlignment="1">
      <alignment horizontal="center" vertical="center" wrapText="1"/>
    </xf>
    <xf numFmtId="49" fontId="4" fillId="12" borderId="2" xfId="58" applyNumberFormat="1" applyFont="1" applyFill="1" applyBorder="1" applyAlignment="1">
      <alignment horizontal="center" vertical="center" wrapText="1"/>
    </xf>
    <xf numFmtId="49" fontId="4" fillId="13" borderId="2" xfId="58" applyNumberFormat="1" applyFont="1" applyFill="1" applyBorder="1" applyAlignment="1">
      <alignment horizontal="center" vertical="center" wrapText="1"/>
    </xf>
    <xf numFmtId="179" fontId="11" fillId="3" borderId="2" xfId="58" applyNumberFormat="1" applyFont="1" applyFill="1" applyBorder="1" applyAlignment="1">
      <alignment horizontal="center" vertical="center" wrapText="1"/>
    </xf>
    <xf numFmtId="179" fontId="4" fillId="12" borderId="2" xfId="58" applyNumberFormat="1" applyFont="1" applyFill="1" applyBorder="1" applyAlignment="1">
      <alignment horizontal="center" vertical="center" wrapText="1"/>
    </xf>
    <xf numFmtId="179" fontId="4" fillId="12" borderId="2" xfId="58" applyNumberFormat="1" applyFont="1" applyFill="1" applyBorder="1" applyAlignment="1">
      <alignment horizontal="center" vertical="center"/>
    </xf>
    <xf numFmtId="179" fontId="11" fillId="12" borderId="2" xfId="58" applyNumberFormat="1" applyFont="1" applyFill="1" applyBorder="1" applyAlignment="1">
      <alignment horizontal="center" vertical="center" wrapText="1"/>
    </xf>
    <xf numFmtId="179" fontId="11" fillId="12" borderId="2" xfId="58" applyNumberFormat="1" applyFont="1" applyFill="1" applyBorder="1" applyAlignment="1">
      <alignment horizontal="center" vertical="center"/>
    </xf>
    <xf numFmtId="179" fontId="11" fillId="3" borderId="2" xfId="57" applyNumberFormat="1" applyFont="1" applyFill="1" applyBorder="1" applyAlignment="1">
      <alignment horizontal="center" vertical="center" wrapText="1"/>
    </xf>
    <xf numFmtId="179" fontId="4" fillId="3" borderId="2" xfId="57" applyNumberFormat="1" applyFont="1" applyFill="1" applyBorder="1" applyAlignment="1">
      <alignment horizontal="center" vertical="center" wrapText="1"/>
    </xf>
    <xf numFmtId="0" fontId="0" fillId="0" borderId="6" xfId="0" applyBorder="1"/>
    <xf numFmtId="4" fontId="4" fillId="3" borderId="2" xfId="0" applyNumberFormat="1" applyFont="1" applyFill="1" applyBorder="1" applyAlignment="1">
      <alignment horizontal="center" vertical="center" wrapText="1"/>
    </xf>
    <xf numFmtId="10" fontId="4" fillId="0" borderId="2" xfId="49" applyNumberFormat="1" applyFont="1" applyBorder="1" applyAlignment="1">
      <alignment horizontal="center" vertical="center"/>
    </xf>
    <xf numFmtId="9" fontId="4" fillId="0" borderId="2" xfId="49" applyNumberFormat="1" applyFont="1" applyBorder="1" applyAlignment="1">
      <alignment horizontal="center" vertical="center"/>
    </xf>
    <xf numFmtId="179" fontId="4" fillId="2" borderId="2" xfId="58" applyNumberFormat="1" applyFont="1" applyFill="1" applyBorder="1" applyAlignment="1">
      <alignment horizontal="center" vertical="center" shrinkToFit="1"/>
    </xf>
    <xf numFmtId="179" fontId="4" fillId="0" borderId="2" xfId="58" applyNumberFormat="1" applyFont="1" applyFill="1" applyBorder="1" applyAlignment="1">
      <alignment horizontal="center" vertical="center" wrapText="1"/>
    </xf>
    <xf numFmtId="49" fontId="4" fillId="0" borderId="2" xfId="58" applyNumberFormat="1" applyFont="1" applyFill="1" applyBorder="1" applyAlignment="1">
      <alignment horizontal="center" vertical="center" wrapText="1"/>
    </xf>
    <xf numFmtId="179" fontId="11" fillId="0" borderId="2" xfId="58" applyNumberFormat="1" applyFont="1" applyFill="1" applyBorder="1" applyAlignment="1">
      <alignment horizontal="center" vertical="center"/>
    </xf>
    <xf numFmtId="179" fontId="6" fillId="0" borderId="2" xfId="58" applyNumberFormat="1" applyFont="1" applyFill="1" applyBorder="1" applyAlignment="1">
      <alignment horizontal="center" vertical="center" wrapText="1"/>
    </xf>
    <xf numFmtId="179" fontId="11" fillId="0" borderId="2" xfId="49" applyNumberFormat="1" applyFont="1" applyBorder="1" applyAlignment="1">
      <alignment horizontal="center" vertical="center" shrinkToFit="1"/>
    </xf>
    <xf numFmtId="179" fontId="11" fillId="0" borderId="2" xfId="49" applyNumberFormat="1" applyFont="1" applyBorder="1" applyAlignment="1">
      <alignment horizontal="center" vertical="center"/>
    </xf>
    <xf numFmtId="49" fontId="4" fillId="0" borderId="2" xfId="56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/>
    </xf>
    <xf numFmtId="179" fontId="1" fillId="0" borderId="2" xfId="49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vertical="center"/>
    </xf>
    <xf numFmtId="0" fontId="11" fillId="0" borderId="0" xfId="49" applyFont="1" applyAlignment="1">
      <alignment horizontal="center" vertical="center"/>
    </xf>
    <xf numFmtId="10" fontId="4" fillId="0" borderId="0" xfId="49" applyNumberFormat="1" applyFont="1" applyAlignment="1">
      <alignment horizontal="center" vertical="center"/>
    </xf>
    <xf numFmtId="0" fontId="4" fillId="0" borderId="0" xfId="49" applyFont="1" applyAlignment="1">
      <alignment horizontal="center" vertical="center"/>
    </xf>
    <xf numFmtId="179" fontId="4" fillId="0" borderId="0" xfId="58" applyNumberFormat="1" applyFont="1" applyFill="1" applyAlignment="1">
      <alignment horizontal="center" vertical="center" wrapText="1"/>
    </xf>
    <xf numFmtId="49" fontId="4" fillId="0" borderId="0" xfId="58" applyNumberFormat="1" applyFont="1" applyFill="1" applyAlignment="1">
      <alignment horizontal="center" vertical="center" wrapText="1"/>
    </xf>
    <xf numFmtId="179" fontId="11" fillId="0" borderId="0" xfId="58" applyNumberFormat="1" applyFont="1" applyFill="1" applyAlignment="1">
      <alignment horizontal="center" vertical="center"/>
    </xf>
    <xf numFmtId="179" fontId="6" fillId="0" borderId="0" xfId="58" applyNumberFormat="1" applyFont="1" applyFill="1" applyAlignment="1">
      <alignment horizontal="center" vertical="center" wrapText="1"/>
    </xf>
    <xf numFmtId="179" fontId="11" fillId="0" borderId="0" xfId="49" applyNumberFormat="1" applyFont="1" applyAlignment="1">
      <alignment horizontal="center" vertical="center"/>
    </xf>
    <xf numFmtId="49" fontId="4" fillId="0" borderId="0" xfId="58" applyNumberFormat="1" applyFont="1" applyFill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79" fontId="6" fillId="0" borderId="0" xfId="58" applyNumberFormat="1" applyFont="1" applyFill="1" applyAlignment="1">
      <alignment horizontal="center" vertical="center"/>
    </xf>
    <xf numFmtId="179" fontId="4" fillId="0" borderId="0" xfId="58" applyNumberFormat="1" applyFont="1" applyFill="1" applyAlignment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 2 2 2" xfId="49"/>
    <cellStyle name="常规 100 2" xfId="50"/>
    <cellStyle name="百分比 2 2" xfId="51"/>
    <cellStyle name="百分比 2" xfId="52"/>
    <cellStyle name="常规 3 4" xfId="53"/>
    <cellStyle name="常规 3 3" xfId="54"/>
    <cellStyle name="常规 3" xfId="55"/>
    <cellStyle name="常规 2 3 2" xfId="56"/>
    <cellStyle name="分级显示列_1" xfId="57"/>
    <cellStyle name="千位分隔 2" xfId="58"/>
    <cellStyle name="常规 2" xfId="5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V25"/>
  <sheetViews>
    <sheetView tabSelected="1" topLeftCell="CB1" workbookViewId="0">
      <selection activeCell="CQ21" sqref="CQ21"/>
    </sheetView>
  </sheetViews>
  <sheetFormatPr defaultColWidth="9" defaultRowHeight="13.5"/>
  <cols>
    <col min="1" max="1" width="7.90265486725664" style="3" customWidth="1"/>
    <col min="2" max="2" width="11.7522123893805" style="8" customWidth="1"/>
    <col min="3" max="3" width="9.52212389380531" style="8" customWidth="1"/>
    <col min="4" max="4" width="13.0088495575221" style="8" customWidth="1"/>
    <col min="5" max="5" width="9.12389380530973" style="8" customWidth="1"/>
    <col min="6" max="6" width="5.53097345132743" style="8" customWidth="1"/>
    <col min="7" max="7" width="7.46017699115044" style="8" customWidth="1"/>
    <col min="8" max="8" width="9.38938053097345" style="8" customWidth="1"/>
    <col min="9" max="9" width="7.46017699115044" style="8" customWidth="1"/>
    <col min="10" max="10" width="13.7433628318584" style="8" customWidth="1"/>
    <col min="11" max="11" width="18.1238938053097" style="8" customWidth="1"/>
    <col min="12" max="12" width="5.53097345132743" style="8" customWidth="1"/>
    <col min="13" max="14" width="9.38938053097345" style="8" customWidth="1"/>
    <col min="15" max="15" width="8.23893805309734" style="9" customWidth="1"/>
    <col min="16" max="17" width="10.4247787610619" style="10" customWidth="1"/>
    <col min="18" max="18" width="8.49557522123894" style="10" customWidth="1"/>
    <col min="19" max="21" width="9.38938053097345" style="10" customWidth="1"/>
    <col min="22" max="23" width="10.4247787610619" style="10" customWidth="1"/>
    <col min="24" max="24" width="11.4513274336283" style="10" customWidth="1"/>
    <col min="25" max="25" width="9.38938053097345" style="10" customWidth="1"/>
    <col min="26" max="28" width="10.4247787610619" style="10" customWidth="1"/>
    <col min="29" max="29" width="11.4513274336283" style="10" customWidth="1"/>
    <col min="30" max="30" width="11.4513274336283" style="11" customWidth="1"/>
    <col min="31" max="32" width="5.53097345132743" style="12" customWidth="1"/>
    <col min="33" max="33" width="6.57522123893805" style="13" customWidth="1"/>
    <col min="34" max="34" width="4.64601769911504" style="13" customWidth="1"/>
    <col min="35" max="35" width="10.4247787610619" style="13" customWidth="1"/>
    <col min="36" max="38" width="6.57522123893805" style="13" customWidth="1"/>
    <col min="39" max="39" width="4.64601769911504" style="13" customWidth="1"/>
    <col min="40" max="40" width="8.49557522123894" style="14" customWidth="1"/>
    <col min="41" max="41" width="11.4513274336283" style="14" customWidth="1"/>
    <col min="42" max="43" width="10.0530973451327" style="14" customWidth="1"/>
    <col min="44" max="44" width="8.95575221238938" style="14" customWidth="1"/>
    <col min="45" max="45" width="11.283185840708" style="14" customWidth="1"/>
    <col min="46" max="46" width="16.1946902654867" style="14" customWidth="1"/>
    <col min="47" max="47" width="12.3451327433628" style="14" customWidth="1"/>
    <col min="48" max="48" width="8.49557522123894" style="14" customWidth="1"/>
    <col min="49" max="50" width="10.4247787610619" style="14" customWidth="1"/>
    <col min="51" max="52" width="8.49557522123894" style="14" customWidth="1"/>
    <col min="53" max="53" width="10.4247787610619" style="14" customWidth="1"/>
    <col min="54" max="54" width="8.21238938053097" style="14" customWidth="1"/>
    <col min="55" max="55" width="7.60176991150442" style="14" customWidth="1"/>
    <col min="56" max="56" width="13.1238938053097" style="14" customWidth="1"/>
    <col min="57" max="58" width="14.2743362831858" style="14" customWidth="1"/>
    <col min="59" max="59" width="10.4247787610619" style="14" customWidth="1"/>
    <col min="60" max="62" width="15.070796460177" style="14" customWidth="1"/>
    <col min="63" max="63" width="14.2743362831858" style="14" customWidth="1"/>
    <col min="64" max="66" width="8.49557522123894" style="14" customWidth="1"/>
    <col min="67" max="69" width="14.2035398230088" style="14" customWidth="1"/>
    <col min="70" max="71" width="15.7964601769912" style="14" customWidth="1"/>
    <col min="72" max="72" width="12.4159292035398" style="14" customWidth="1"/>
    <col min="73" max="73" width="8.49557522123894" style="14" customWidth="1"/>
    <col min="74" max="74" width="6.57522123893805" style="14" customWidth="1"/>
    <col min="75" max="75" width="4.64601769911504" style="14" customWidth="1"/>
    <col min="76" max="76" width="8.49557522123894" style="14" customWidth="1"/>
    <col min="77" max="78" width="15.6017699115044" style="15" customWidth="1"/>
    <col min="79" max="79" width="12.4159292035398" style="15" customWidth="1"/>
    <col min="80" max="80" width="14.0088495575221" style="16" customWidth="1"/>
    <col min="81" max="81" width="7.46017699115044" style="17" customWidth="1"/>
    <col min="82" max="82" width="5.53097345132743" style="17" customWidth="1"/>
    <col min="83" max="83" width="8.49557522123894" style="16" customWidth="1"/>
    <col min="84" max="84" width="10.7964601769912" style="15" customWidth="1"/>
    <col min="85" max="85" width="8.83185840707965" style="16" customWidth="1"/>
    <col min="86" max="86" width="18.0353982300885" style="18" customWidth="1"/>
    <col min="87" max="87" width="6.71681415929203" style="18" customWidth="1"/>
    <col min="88" max="88" width="8.76991150442478" style="18" customWidth="1"/>
    <col min="89" max="89" width="9.36283185840708" style="18" customWidth="1"/>
    <col min="90" max="91" width="7.04424778761062" style="18" customWidth="1"/>
    <col min="92" max="92" width="6.76991150442478" style="18" customWidth="1"/>
    <col min="93" max="94" width="7.04424778761062" style="18" customWidth="1"/>
    <col min="95" max="96" width="6.76991150442478" style="3" customWidth="1"/>
    <col min="97" max="97" width="7.04424778761062" style="3" customWidth="1"/>
    <col min="98" max="99" width="6.76991150442478" style="3" customWidth="1"/>
    <col min="100" max="100" width="6.11504424778761" style="3" customWidth="1"/>
  </cols>
  <sheetData>
    <row r="1" s="3" customFormat="1" ht="19" customHeight="1" spans="1:100">
      <c r="A1" s="19" t="s">
        <v>0</v>
      </c>
      <c r="B1" s="20" t="s">
        <v>1</v>
      </c>
      <c r="C1" s="21" t="s">
        <v>2</v>
      </c>
      <c r="D1" s="22" t="s">
        <v>3</v>
      </c>
      <c r="E1" s="23"/>
      <c r="F1" s="24" t="s">
        <v>4</v>
      </c>
      <c r="G1" s="25"/>
      <c r="H1" s="25"/>
      <c r="I1" s="25"/>
      <c r="J1" s="25"/>
      <c r="K1" s="25"/>
      <c r="L1" s="25"/>
      <c r="M1" s="26"/>
      <c r="N1" s="23"/>
      <c r="O1" s="27" t="s">
        <v>5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9" t="s">
        <v>6</v>
      </c>
      <c r="AA1" s="30" t="s">
        <v>7</v>
      </c>
      <c r="AB1" s="28"/>
      <c r="AC1" s="30" t="s">
        <v>7</v>
      </c>
      <c r="AD1" s="31"/>
      <c r="AE1" s="32"/>
      <c r="AF1" s="32"/>
      <c r="AG1" s="33"/>
      <c r="AH1" s="33"/>
      <c r="AI1" s="33"/>
      <c r="AJ1" s="33"/>
      <c r="AK1" s="33"/>
      <c r="AL1" s="33"/>
      <c r="AM1" s="33"/>
      <c r="AN1" s="34"/>
      <c r="AO1" s="34" t="s">
        <v>8</v>
      </c>
      <c r="AP1" s="34"/>
      <c r="AQ1" s="34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 t="s">
        <v>9</v>
      </c>
      <c r="BE1" s="35"/>
      <c r="BF1" s="35"/>
      <c r="BG1" s="35"/>
      <c r="BH1" s="35"/>
      <c r="BI1" s="35"/>
      <c r="BJ1" s="35"/>
      <c r="BK1" s="35"/>
      <c r="BL1" s="35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6"/>
      <c r="BZ1" s="36"/>
      <c r="CA1" s="36"/>
      <c r="CB1" s="37"/>
      <c r="CC1" s="38"/>
      <c r="CD1" s="38"/>
      <c r="CE1" s="37"/>
      <c r="CF1" s="36"/>
      <c r="CG1" s="37"/>
      <c r="CH1" s="39"/>
      <c r="CI1" s="39"/>
      <c r="CJ1" s="39"/>
      <c r="CK1" s="39"/>
      <c r="CL1" s="39"/>
      <c r="CM1" s="39"/>
      <c r="CN1" s="39"/>
      <c r="CO1" s="39"/>
      <c r="CP1" s="39"/>
    </row>
    <row r="2" s="4" customFormat="1" ht="35" customHeight="1" spans="1:100">
      <c r="A2" s="40" t="s">
        <v>10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3" t="s">
        <v>11</v>
      </c>
      <c r="AF2" s="44"/>
      <c r="AG2" s="45" t="s">
        <v>12</v>
      </c>
      <c r="AH2" s="45"/>
      <c r="AI2" s="46" t="s">
        <v>12</v>
      </c>
      <c r="AJ2" s="47" t="s">
        <v>13</v>
      </c>
      <c r="AK2" s="47"/>
      <c r="AL2" s="47"/>
      <c r="AM2" s="47"/>
      <c r="AN2" s="47"/>
      <c r="AO2" s="48" t="s">
        <v>13</v>
      </c>
      <c r="AP2" s="49"/>
      <c r="AQ2" s="49"/>
      <c r="AR2" s="49"/>
      <c r="AS2" s="50"/>
      <c r="AT2" s="51" t="s">
        <v>13</v>
      </c>
      <c r="AU2" s="51"/>
      <c r="AV2" s="51"/>
      <c r="AW2" s="51"/>
      <c r="AX2" s="51"/>
      <c r="AY2" s="51"/>
      <c r="AZ2" s="51"/>
      <c r="BA2" s="51"/>
      <c r="BB2" s="51"/>
      <c r="BC2" s="51"/>
      <c r="BD2" s="52"/>
      <c r="BE2" s="51"/>
      <c r="BF2" s="51"/>
      <c r="BG2" s="51"/>
      <c r="BH2" s="51"/>
      <c r="BI2" s="51"/>
      <c r="BJ2" s="51"/>
      <c r="BK2" s="51"/>
      <c r="BL2" s="51"/>
      <c r="BM2" s="53" t="s">
        <v>12</v>
      </c>
      <c r="BN2" s="53"/>
      <c r="BO2" s="51"/>
      <c r="BP2" s="51" t="s">
        <v>13</v>
      </c>
      <c r="BQ2" s="51"/>
      <c r="BR2" s="51"/>
      <c r="BS2" s="51"/>
      <c r="BT2" s="51"/>
      <c r="BU2" s="51"/>
      <c r="BV2" s="51"/>
      <c r="BW2" s="51"/>
      <c r="BX2" s="51"/>
      <c r="BY2" s="54" t="s">
        <v>13</v>
      </c>
      <c r="BZ2" s="54"/>
      <c r="CA2" s="54"/>
      <c r="CB2" s="54"/>
      <c r="CC2" s="47"/>
      <c r="CD2" s="47"/>
      <c r="CE2" s="54"/>
      <c r="CF2" s="54"/>
      <c r="CG2" s="54"/>
      <c r="CH2" s="55" t="s">
        <v>14</v>
      </c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7"/>
    </row>
    <row r="3" s="5" customFormat="1" ht="37.05" customHeight="1" spans="1:100">
      <c r="A3" s="58" t="s">
        <v>15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60"/>
      <c r="P3" s="61"/>
      <c r="Q3" s="61" t="s">
        <v>16</v>
      </c>
      <c r="R3" s="61"/>
      <c r="S3" s="61" t="s">
        <v>17</v>
      </c>
      <c r="T3" s="61"/>
      <c r="U3" s="61"/>
      <c r="V3" s="61"/>
      <c r="W3" s="61" t="s">
        <v>18</v>
      </c>
      <c r="X3" s="61"/>
      <c r="Y3" s="61"/>
      <c r="Z3" s="61"/>
      <c r="AA3" s="61"/>
      <c r="AB3" s="61"/>
      <c r="AC3" s="61"/>
      <c r="AD3" s="61"/>
      <c r="AE3" s="61" t="s">
        <v>19</v>
      </c>
      <c r="AF3" s="61"/>
      <c r="AG3" s="62" t="s">
        <v>20</v>
      </c>
      <c r="AH3" s="62"/>
      <c r="AI3" s="63" t="s">
        <v>21</v>
      </c>
      <c r="AJ3" s="64" t="s">
        <v>22</v>
      </c>
      <c r="AK3" s="64"/>
      <c r="AL3" s="64"/>
      <c r="AM3" s="64"/>
      <c r="AN3" s="64"/>
      <c r="AO3" s="65" t="s">
        <v>23</v>
      </c>
      <c r="AP3" s="49"/>
      <c r="AQ3" s="49"/>
      <c r="AR3" s="49"/>
      <c r="AS3" s="50"/>
      <c r="AT3" s="66" t="s">
        <v>24</v>
      </c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50"/>
      <c r="BP3" s="67" t="s">
        <v>25</v>
      </c>
      <c r="BQ3" s="67"/>
      <c r="BR3" s="67"/>
      <c r="BS3" s="67"/>
      <c r="BT3" s="67"/>
      <c r="BU3" s="67"/>
      <c r="BV3" s="67"/>
      <c r="BW3" s="67"/>
      <c r="BX3" s="67"/>
      <c r="BY3" s="68" t="s">
        <v>26</v>
      </c>
      <c r="BZ3" s="68"/>
      <c r="CA3" s="68"/>
      <c r="CB3" s="68"/>
      <c r="CC3" s="68"/>
      <c r="CD3" s="68"/>
      <c r="CE3" s="68"/>
      <c r="CF3" s="68"/>
      <c r="CG3" s="68"/>
      <c r="CH3" s="69" t="s">
        <v>27</v>
      </c>
      <c r="CI3" s="69"/>
      <c r="CJ3" s="69"/>
      <c r="CK3" s="69" t="s">
        <v>28</v>
      </c>
      <c r="CL3" s="69"/>
      <c r="CM3" s="69"/>
      <c r="CN3" s="69" t="s">
        <v>29</v>
      </c>
      <c r="CO3" s="69"/>
      <c r="CP3" s="69"/>
      <c r="CQ3" s="70" t="s">
        <v>30</v>
      </c>
      <c r="CR3" s="70"/>
      <c r="CS3" s="70"/>
      <c r="CT3" s="70" t="s">
        <v>31</v>
      </c>
      <c r="CU3" s="70"/>
      <c r="CV3" s="70"/>
    </row>
    <row r="4" s="6" customFormat="1" ht="12.35" spans="1:100">
      <c r="A4" s="71" t="s">
        <v>32</v>
      </c>
      <c r="B4" s="71" t="s">
        <v>33</v>
      </c>
      <c r="C4" s="71" t="s">
        <v>34</v>
      </c>
      <c r="D4" s="71" t="s">
        <v>35</v>
      </c>
      <c r="E4" s="71" t="s">
        <v>36</v>
      </c>
      <c r="F4" s="71" t="s">
        <v>37</v>
      </c>
      <c r="G4" s="71" t="s">
        <v>38</v>
      </c>
      <c r="H4" s="71" t="s">
        <v>39</v>
      </c>
      <c r="I4" s="71" t="s">
        <v>40</v>
      </c>
      <c r="J4" s="71" t="s">
        <v>41</v>
      </c>
      <c r="K4" s="72" t="s">
        <v>42</v>
      </c>
      <c r="L4" s="71" t="s">
        <v>43</v>
      </c>
      <c r="M4" s="71" t="s">
        <v>44</v>
      </c>
      <c r="N4" s="71" t="s">
        <v>45</v>
      </c>
      <c r="O4" s="73" t="s">
        <v>46</v>
      </c>
      <c r="P4" s="74" t="s">
        <v>47</v>
      </c>
      <c r="Q4" s="74" t="s">
        <v>48</v>
      </c>
      <c r="R4" s="74" t="s">
        <v>49</v>
      </c>
      <c r="S4" s="75" t="s">
        <v>50</v>
      </c>
      <c r="T4" s="75" t="s">
        <v>51</v>
      </c>
      <c r="U4" s="75" t="s">
        <v>52</v>
      </c>
      <c r="V4" s="74" t="s">
        <v>53</v>
      </c>
      <c r="W4" s="74" t="s">
        <v>54</v>
      </c>
      <c r="X4" s="75" t="s">
        <v>55</v>
      </c>
      <c r="Y4" s="75" t="s">
        <v>56</v>
      </c>
      <c r="Z4" s="76" t="s">
        <v>57</v>
      </c>
      <c r="AA4" s="76" t="s">
        <v>58</v>
      </c>
      <c r="AB4" s="74" t="s">
        <v>59</v>
      </c>
      <c r="AC4" s="77" t="s">
        <v>60</v>
      </c>
      <c r="AD4" s="75" t="s">
        <v>61</v>
      </c>
      <c r="AE4" s="74" t="s">
        <v>62</v>
      </c>
      <c r="AF4" s="74" t="s">
        <v>63</v>
      </c>
      <c r="AG4" s="78" t="s">
        <v>20</v>
      </c>
      <c r="AH4" s="78" t="s">
        <v>64</v>
      </c>
      <c r="AI4" s="79" t="s">
        <v>21</v>
      </c>
      <c r="AJ4" s="80" t="s">
        <v>22</v>
      </c>
      <c r="AK4" s="80" t="s">
        <v>65</v>
      </c>
      <c r="AL4" s="80" t="s">
        <v>66</v>
      </c>
      <c r="AM4" s="80" t="s">
        <v>67</v>
      </c>
      <c r="AN4" s="80" t="s">
        <v>68</v>
      </c>
      <c r="AO4" s="81" t="s">
        <v>69</v>
      </c>
      <c r="AP4" s="82" t="s">
        <v>70</v>
      </c>
      <c r="AQ4" s="83" t="s">
        <v>71</v>
      </c>
      <c r="AR4" s="83" t="s">
        <v>72</v>
      </c>
      <c r="AS4" s="83" t="s">
        <v>73</v>
      </c>
      <c r="AT4" s="84" t="s">
        <v>74</v>
      </c>
      <c r="AU4" s="84" t="s">
        <v>75</v>
      </c>
      <c r="AV4" s="84" t="s">
        <v>76</v>
      </c>
      <c r="AW4" s="84" t="s">
        <v>77</v>
      </c>
      <c r="AX4" s="84" t="s">
        <v>78</v>
      </c>
      <c r="AY4" s="84" t="s">
        <v>79</v>
      </c>
      <c r="AZ4" s="84" t="s">
        <v>80</v>
      </c>
      <c r="BA4" s="85" t="s">
        <v>81</v>
      </c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 t="s">
        <v>82</v>
      </c>
      <c r="BN4" s="85" t="s">
        <v>83</v>
      </c>
      <c r="BO4" s="85" t="s">
        <v>84</v>
      </c>
      <c r="BP4" s="86" t="s">
        <v>85</v>
      </c>
      <c r="BQ4" s="87" t="s">
        <v>86</v>
      </c>
      <c r="BR4" s="86" t="s">
        <v>87</v>
      </c>
      <c r="BS4" s="87" t="s">
        <v>88</v>
      </c>
      <c r="BT4" s="88" t="s">
        <v>89</v>
      </c>
      <c r="BU4" s="88" t="s">
        <v>90</v>
      </c>
      <c r="BV4" s="89" t="s">
        <v>91</v>
      </c>
      <c r="BW4" s="89" t="s">
        <v>92</v>
      </c>
      <c r="BX4" s="89" t="s">
        <v>93</v>
      </c>
      <c r="BY4" s="90" t="s">
        <v>94</v>
      </c>
      <c r="BZ4" s="90" t="s">
        <v>95</v>
      </c>
      <c r="CA4" s="91" t="s">
        <v>96</v>
      </c>
      <c r="CB4" s="91" t="s">
        <v>97</v>
      </c>
      <c r="CC4" s="92" t="s">
        <v>98</v>
      </c>
      <c r="CD4" s="92" t="s">
        <v>99</v>
      </c>
      <c r="CE4" s="93" t="s">
        <v>100</v>
      </c>
      <c r="CF4" s="93" t="s">
        <v>101</v>
      </c>
      <c r="CG4" s="94" t="s">
        <v>102</v>
      </c>
      <c r="CH4" s="74" t="s">
        <v>62</v>
      </c>
      <c r="CI4" s="74" t="s">
        <v>63</v>
      </c>
      <c r="CJ4" s="95" t="s">
        <v>103</v>
      </c>
      <c r="CK4" s="74" t="s">
        <v>62</v>
      </c>
      <c r="CL4" s="74" t="s">
        <v>63</v>
      </c>
      <c r="CM4" s="95" t="s">
        <v>103</v>
      </c>
      <c r="CN4" s="74" t="s">
        <v>62</v>
      </c>
      <c r="CO4" s="74" t="s">
        <v>63</v>
      </c>
      <c r="CP4" s="95" t="s">
        <v>103</v>
      </c>
      <c r="CQ4" s="74" t="s">
        <v>62</v>
      </c>
      <c r="CR4" s="74" t="s">
        <v>63</v>
      </c>
      <c r="CS4" s="96" t="s">
        <v>103</v>
      </c>
      <c r="CT4" s="74" t="s">
        <v>62</v>
      </c>
      <c r="CU4" s="74" t="s">
        <v>63</v>
      </c>
      <c r="CV4" s="96" t="s">
        <v>103</v>
      </c>
    </row>
    <row r="5" s="6" customFormat="1" ht="25.5" customHeight="1" spans="1:100">
      <c r="A5" s="71"/>
      <c r="B5" s="71"/>
      <c r="C5" s="71"/>
      <c r="D5" s="71"/>
      <c r="E5" s="71"/>
      <c r="F5" s="71"/>
      <c r="G5" s="71"/>
      <c r="H5" s="71"/>
      <c r="I5" s="71"/>
      <c r="J5" s="71"/>
      <c r="K5" s="72"/>
      <c r="L5" s="71"/>
      <c r="M5" s="71"/>
      <c r="N5" s="71"/>
      <c r="O5" s="73"/>
      <c r="P5" s="74"/>
      <c r="Q5" s="74"/>
      <c r="R5" s="74"/>
      <c r="S5" s="75"/>
      <c r="T5" s="75"/>
      <c r="U5" s="75"/>
      <c r="V5" s="74"/>
      <c r="W5" s="74"/>
      <c r="X5" s="75"/>
      <c r="Y5" s="75"/>
      <c r="Z5" s="76"/>
      <c r="AA5" s="76"/>
      <c r="AB5" s="74"/>
      <c r="AC5" s="77"/>
      <c r="AD5" s="75"/>
      <c r="AE5" s="74"/>
      <c r="AF5" s="74"/>
      <c r="AG5" s="78"/>
      <c r="AH5" s="78"/>
      <c r="AI5" s="79"/>
      <c r="AJ5" s="80"/>
      <c r="AK5" s="80"/>
      <c r="AL5" s="80"/>
      <c r="AM5" s="80"/>
      <c r="AN5" s="80"/>
      <c r="AO5" s="81"/>
      <c r="AP5" s="97"/>
      <c r="AQ5" s="83"/>
      <c r="AR5" s="83"/>
      <c r="AS5" s="83"/>
      <c r="AT5" s="85"/>
      <c r="AU5" s="85"/>
      <c r="AV5" s="85"/>
      <c r="AW5" s="85"/>
      <c r="AX5" s="85"/>
      <c r="AY5" s="85"/>
      <c r="AZ5" s="85"/>
      <c r="BA5" s="85" t="s">
        <v>104</v>
      </c>
      <c r="BB5" s="85" t="s">
        <v>105</v>
      </c>
      <c r="BC5" s="85" t="s">
        <v>106</v>
      </c>
      <c r="BD5" s="98" t="s">
        <v>107</v>
      </c>
      <c r="BE5" s="85" t="s">
        <v>108</v>
      </c>
      <c r="BF5" s="85" t="s">
        <v>109</v>
      </c>
      <c r="BG5" s="85" t="s">
        <v>110</v>
      </c>
      <c r="BH5" s="85" t="s">
        <v>111</v>
      </c>
      <c r="BI5" s="85" t="s">
        <v>112</v>
      </c>
      <c r="BJ5" s="85" t="s">
        <v>113</v>
      </c>
      <c r="BK5" s="85" t="s">
        <v>114</v>
      </c>
      <c r="BL5" s="84" t="s">
        <v>115</v>
      </c>
      <c r="BM5" s="85"/>
      <c r="BN5" s="85"/>
      <c r="BO5" s="97"/>
      <c r="BP5" s="86"/>
      <c r="BQ5" s="87"/>
      <c r="BR5" s="86"/>
      <c r="BS5" s="87"/>
      <c r="BT5" s="91"/>
      <c r="BU5" s="91"/>
      <c r="BV5" s="89"/>
      <c r="BW5" s="89"/>
      <c r="BX5" s="89"/>
      <c r="BY5" s="90"/>
      <c r="BZ5" s="90"/>
      <c r="CA5" s="91"/>
      <c r="CB5" s="91"/>
      <c r="CC5" s="92"/>
      <c r="CD5" s="92"/>
      <c r="CE5" s="93"/>
      <c r="CF5" s="93"/>
      <c r="CG5" s="94"/>
      <c r="CH5" s="74"/>
      <c r="CI5" s="74"/>
      <c r="CJ5" s="95"/>
      <c r="CK5" s="74"/>
      <c r="CL5" s="74"/>
      <c r="CM5" s="95"/>
      <c r="CN5" s="74"/>
      <c r="CO5" s="74"/>
      <c r="CP5" s="95"/>
      <c r="CQ5" s="74"/>
      <c r="CR5" s="74"/>
      <c r="CS5" s="96"/>
      <c r="CT5" s="74"/>
      <c r="CU5" s="74"/>
      <c r="CV5" s="96"/>
    </row>
    <row r="6" s="7" customFormat="1" ht="15" customHeight="1" spans="1:100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99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100">
        <v>0.5</v>
      </c>
      <c r="AF6" s="100">
        <v>0.5</v>
      </c>
      <c r="AG6" s="101">
        <f>SUM(AG7:AG10000)</f>
        <v>140</v>
      </c>
      <c r="AH6" s="102"/>
      <c r="AI6" s="102"/>
      <c r="AJ6" s="102"/>
      <c r="AK6" s="102"/>
      <c r="AL6" s="102"/>
      <c r="AM6" s="102"/>
      <c r="AN6" s="102"/>
      <c r="AO6" s="103"/>
      <c r="AP6" s="102"/>
      <c r="AQ6" s="102"/>
      <c r="AR6" s="102"/>
      <c r="AS6" s="102"/>
      <c r="AT6" s="103"/>
      <c r="AU6" s="103"/>
      <c r="AV6" s="103"/>
      <c r="AW6" s="103"/>
      <c r="AX6" s="103"/>
      <c r="AY6" s="103"/>
      <c r="AZ6" s="103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3"/>
      <c r="BM6" s="102"/>
      <c r="BN6" s="102"/>
      <c r="BO6" s="102"/>
      <c r="BP6" s="102"/>
      <c r="BQ6" s="102"/>
      <c r="BR6" s="102"/>
      <c r="BS6" s="102"/>
      <c r="BT6" s="103"/>
      <c r="BU6" s="103"/>
      <c r="BV6" s="102"/>
      <c r="BW6" s="102"/>
      <c r="BX6" s="102"/>
      <c r="BY6" s="104"/>
      <c r="BZ6" s="104"/>
      <c r="CA6" s="104"/>
      <c r="CB6" s="105"/>
      <c r="CC6" s="102"/>
      <c r="CD6" s="102"/>
      <c r="CE6" s="104"/>
      <c r="CF6" s="104"/>
      <c r="CG6" s="104"/>
      <c r="CH6" s="106">
        <f>SUBTOTAL(9,CH7:CH10000)</f>
        <v>150</v>
      </c>
      <c r="CI6" s="107">
        <f>SUBTOTAL(9,CI7:CI10000)</f>
        <v>580</v>
      </c>
      <c r="CJ6" s="106">
        <f>SUMPRODUCT(AE6:AF6,CH6:CI6)</f>
        <v>365</v>
      </c>
      <c r="CK6" s="106">
        <f>SUBTOTAL(9,CK7:CK10000)</f>
        <v>100</v>
      </c>
      <c r="CL6" s="106">
        <f>SUBTOTAL(9,CL7:CL10000)</f>
        <v>360</v>
      </c>
      <c r="CM6" s="106">
        <f>SUMPRODUCT(AE6:AF6,CK6:CL6)</f>
        <v>230</v>
      </c>
      <c r="CN6" s="106">
        <f>SUBTOTAL(9,CN7:CN10000)</f>
        <v>50</v>
      </c>
      <c r="CO6" s="106">
        <f>SUBTOTAL(9,CO7:CO10000)</f>
        <v>180</v>
      </c>
      <c r="CP6" s="106">
        <f>SUMPRODUCT(AE6:AF6,CN6:CO6)</f>
        <v>115</v>
      </c>
      <c r="CQ6" s="106">
        <f>SUBTOTAL(9,CQ7:CQ10000)</f>
        <v>25</v>
      </c>
      <c r="CR6" s="106">
        <f>SUBTOTAL(9,CR7:CR10000)</f>
        <v>90</v>
      </c>
      <c r="CS6" s="106">
        <f>SUMPRODUCT(AE6:AF6,CQ6:CR6)</f>
        <v>57.5</v>
      </c>
      <c r="CT6" s="106">
        <f>SUBTOTAL(9,CT7:CT10000)</f>
        <v>25</v>
      </c>
      <c r="CU6" s="106">
        <f>SUBTOTAL(9,CU7:CU10000)</f>
        <v>90</v>
      </c>
      <c r="CV6" s="106">
        <f>SUMPRODUCT(AE6:AF6,CT6:CU6)</f>
        <v>57.5</v>
      </c>
    </row>
    <row r="7" s="7" customFormat="1" ht="15" customHeight="1" spans="1:100">
      <c r="A7" s="71">
        <v>1</v>
      </c>
      <c r="B7" s="71"/>
      <c r="C7" s="71"/>
      <c r="D7" s="71"/>
      <c r="E7" s="71"/>
      <c r="F7" s="71"/>
      <c r="G7" s="71"/>
      <c r="H7" s="108" t="s">
        <v>116</v>
      </c>
      <c r="I7" s="109" t="s">
        <v>117</v>
      </c>
      <c r="J7" s="109" t="s">
        <v>118</v>
      </c>
      <c r="K7" s="109"/>
      <c r="L7" s="109" t="s">
        <v>119</v>
      </c>
      <c r="M7" s="71"/>
      <c r="N7" s="71"/>
      <c r="O7" s="99"/>
      <c r="P7" s="75"/>
      <c r="Q7" s="75" t="s">
        <v>120</v>
      </c>
      <c r="R7" s="75"/>
      <c r="S7" s="108" t="s">
        <v>121</v>
      </c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>
        <v>1</v>
      </c>
      <c r="AF7" s="75">
        <v>3</v>
      </c>
      <c r="AG7" s="102">
        <v>50</v>
      </c>
      <c r="AH7" s="102"/>
      <c r="AI7" s="102"/>
      <c r="AJ7" s="102"/>
      <c r="AK7" s="102"/>
      <c r="AL7" s="102"/>
      <c r="AM7" s="102"/>
      <c r="AN7" s="102"/>
      <c r="AO7" s="103"/>
      <c r="AP7" s="102"/>
      <c r="AQ7" s="102"/>
      <c r="AR7" s="102"/>
      <c r="AS7" s="102"/>
      <c r="AT7" s="103"/>
      <c r="AU7" s="103"/>
      <c r="AV7" s="103"/>
      <c r="AW7" s="103"/>
      <c r="AX7" s="103"/>
      <c r="AY7" s="103"/>
      <c r="AZ7" s="103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3"/>
      <c r="BM7" s="102"/>
      <c r="BN7" s="102"/>
      <c r="BO7" s="102"/>
      <c r="BP7" s="102"/>
      <c r="BQ7" s="102"/>
      <c r="BR7" s="102"/>
      <c r="BS7" s="102"/>
      <c r="BT7" s="103" t="s">
        <v>122</v>
      </c>
      <c r="BU7" s="103"/>
      <c r="BV7" s="102"/>
      <c r="BW7" s="102"/>
      <c r="BX7" s="102"/>
      <c r="BY7" s="104">
        <v>10</v>
      </c>
      <c r="BZ7" s="104">
        <v>20</v>
      </c>
      <c r="CA7" s="104"/>
      <c r="CB7" s="105"/>
      <c r="CC7" s="102">
        <v>5</v>
      </c>
      <c r="CD7" s="102">
        <v>5</v>
      </c>
      <c r="CE7" s="104"/>
      <c r="CF7" s="104"/>
      <c r="CG7" s="104"/>
      <c r="CH7" s="110">
        <f>AG7*_xlfn.SINGLE(IF(OR(AE7="",AE7=0),0,AE7))</f>
        <v>50</v>
      </c>
      <c r="CI7" s="110">
        <f t="shared" ref="CI7:CI10" si="0">AG7*_xlfn.SINGLE(IF(OR(AF7="",AF7=0),0,AF7))</f>
        <v>150</v>
      </c>
      <c r="CJ7" s="110">
        <f>SUMPRODUCT(AE6:AF6,CH7:CI7)</f>
        <v>100</v>
      </c>
      <c r="CK7" s="110">
        <f>BZ7*IF(OR(AE7="",AE7=0),0,AE7)</f>
        <v>20</v>
      </c>
      <c r="CL7" s="110">
        <f t="shared" ref="CL7:CL10" si="1">BZ7*IF(OR(AF7="",AF7=0),0,AF7)</f>
        <v>60</v>
      </c>
      <c r="CM7" s="110">
        <f>SUMPRODUCT(AE6:AF6,CK7:CL7)</f>
        <v>40</v>
      </c>
      <c r="CN7" s="110">
        <f>BY7*IF(OR(AE7="",AE7=0),0,AE7)</f>
        <v>10</v>
      </c>
      <c r="CO7" s="110">
        <f t="shared" ref="CO7:CO10" si="2">BY7*IF(OR(AF7="",AF7=0),0,AF7)</f>
        <v>30</v>
      </c>
      <c r="CP7" s="110">
        <f>SUMPRODUCT(AE6:AF6,CN7:CO7)</f>
        <v>20</v>
      </c>
      <c r="CQ7" s="110">
        <f>CC7*IF(OR(AE7="",AE7=0),0,AE7)</f>
        <v>5</v>
      </c>
      <c r="CR7" s="110">
        <f t="shared" ref="CR7:CR10" si="3">CC7*IF(OR(AF7="",AF7=0),0,AF7)</f>
        <v>15</v>
      </c>
      <c r="CS7" s="110">
        <f>SUMPRODUCT(AE6:AF6,CQ7:CR7)</f>
        <v>10</v>
      </c>
      <c r="CT7" s="110">
        <f>CD7*IF(OR(AE7="",AE7=0),0,AE7)</f>
        <v>5</v>
      </c>
      <c r="CU7" s="110">
        <f t="shared" ref="CU7:CU10" si="4">CD7*IF(OR(AF7="",AF7=0),0,AF7)</f>
        <v>15</v>
      </c>
      <c r="CV7" s="110">
        <f>SUMPRODUCT(AH6:AI6,CT7:CU7)</f>
        <v>0</v>
      </c>
    </row>
    <row r="8" s="7" customFormat="1" ht="15" customHeight="1" spans="1:100">
      <c r="A8" s="71">
        <v>2</v>
      </c>
      <c r="B8" s="71"/>
      <c r="C8" s="71"/>
      <c r="D8" s="71"/>
      <c r="E8" s="71"/>
      <c r="F8" s="71"/>
      <c r="G8" s="71"/>
      <c r="H8" s="108" t="s">
        <v>116</v>
      </c>
      <c r="I8" s="109" t="s">
        <v>123</v>
      </c>
      <c r="J8" s="109" t="s">
        <v>124</v>
      </c>
      <c r="K8" s="111"/>
      <c r="L8" s="109" t="s">
        <v>125</v>
      </c>
      <c r="M8" s="71"/>
      <c r="N8" s="71"/>
      <c r="O8" s="99"/>
      <c r="P8" s="75"/>
      <c r="Q8" s="75" t="s">
        <v>120</v>
      </c>
      <c r="R8" s="75"/>
      <c r="S8" s="108" t="s">
        <v>121</v>
      </c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>
        <v>1</v>
      </c>
      <c r="AF8" s="75">
        <v>4</v>
      </c>
      <c r="AG8" s="102">
        <v>30</v>
      </c>
      <c r="AH8" s="102"/>
      <c r="AI8" s="102"/>
      <c r="AJ8" s="102"/>
      <c r="AK8" s="102"/>
      <c r="AL8" s="102"/>
      <c r="AM8" s="102"/>
      <c r="AN8" s="102"/>
      <c r="AO8" s="103"/>
      <c r="AP8" s="102"/>
      <c r="AQ8" s="102"/>
      <c r="AR8" s="102"/>
      <c r="AS8" s="102"/>
      <c r="AT8" s="103"/>
      <c r="AU8" s="103"/>
      <c r="AV8" s="103"/>
      <c r="AW8" s="103"/>
      <c r="AX8" s="103"/>
      <c r="AY8" s="103"/>
      <c r="AZ8" s="103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3"/>
      <c r="BM8" s="102"/>
      <c r="BN8" s="102"/>
      <c r="BO8" s="102"/>
      <c r="BP8" s="102"/>
      <c r="BQ8" s="102"/>
      <c r="BR8" s="102"/>
      <c r="BS8" s="102"/>
      <c r="BT8" s="103"/>
      <c r="BU8" s="103"/>
      <c r="BV8" s="102"/>
      <c r="BW8" s="102"/>
      <c r="BX8" s="102"/>
      <c r="BY8" s="104">
        <v>10</v>
      </c>
      <c r="BZ8" s="104">
        <v>20</v>
      </c>
      <c r="CA8" s="104"/>
      <c r="CB8" s="105"/>
      <c r="CC8" s="102">
        <v>5</v>
      </c>
      <c r="CD8" s="102">
        <v>5</v>
      </c>
      <c r="CE8" s="104"/>
      <c r="CF8" s="104"/>
      <c r="CG8" s="104"/>
      <c r="CH8" s="110">
        <f>AG8*_xlfn.SINGLE(IF(OR(AE8="",AE8=0),0,AE8))</f>
        <v>30</v>
      </c>
      <c r="CI8" s="110">
        <f t="shared" si="0"/>
        <v>120</v>
      </c>
      <c r="CJ8" s="110">
        <f>SUMPRODUCT(AE7:AF7,CH8:CI8)</f>
        <v>390</v>
      </c>
      <c r="CK8" s="110">
        <f>BZ8*IF(OR(AE8="",AE8=0),0,AE8)</f>
        <v>20</v>
      </c>
      <c r="CL8" s="110">
        <f t="shared" si="1"/>
        <v>80</v>
      </c>
      <c r="CM8" s="110">
        <f>SUMPRODUCT(AE7:AF7,CK8:CL8)</f>
        <v>260</v>
      </c>
      <c r="CN8" s="110">
        <f>BY8*IF(OR(AE8="",AE8=0),0,AE8)</f>
        <v>10</v>
      </c>
      <c r="CO8" s="110">
        <f t="shared" si="2"/>
        <v>40</v>
      </c>
      <c r="CP8" s="110">
        <f>SUMPRODUCT(AE7:AF7,CN8:CO8)</f>
        <v>130</v>
      </c>
      <c r="CQ8" s="110">
        <f>CC8*IF(OR(AE8="",AE8=0),0,AE8)</f>
        <v>5</v>
      </c>
      <c r="CR8" s="110">
        <f t="shared" si="3"/>
        <v>20</v>
      </c>
      <c r="CS8" s="110">
        <f>SUMPRODUCT(AE7:AF7,CQ8:CR8)</f>
        <v>65</v>
      </c>
      <c r="CT8" s="110">
        <f>CD8*IF(OR(AE8="",AE8=0),0,AE8)</f>
        <v>5</v>
      </c>
      <c r="CU8" s="110">
        <f t="shared" si="4"/>
        <v>20</v>
      </c>
      <c r="CV8" s="110">
        <f>SUMPRODUCT(AH7:AI7,CT8:CU8)</f>
        <v>0</v>
      </c>
    </row>
    <row r="9" s="7" customFormat="1" ht="15" customHeight="1" spans="1:100">
      <c r="A9" s="71">
        <v>3</v>
      </c>
      <c r="B9" s="71"/>
      <c r="C9" s="71"/>
      <c r="D9" s="71"/>
      <c r="E9" s="71"/>
      <c r="F9" s="71"/>
      <c r="G9" s="71"/>
      <c r="H9" s="108" t="s">
        <v>126</v>
      </c>
      <c r="I9" s="109" t="s">
        <v>127</v>
      </c>
      <c r="J9" s="109" t="s">
        <v>128</v>
      </c>
      <c r="K9" s="111"/>
      <c r="L9" s="109" t="s">
        <v>129</v>
      </c>
      <c r="M9" s="71"/>
      <c r="N9" s="71"/>
      <c r="O9" s="99"/>
      <c r="P9" s="75"/>
      <c r="Q9" s="75" t="s">
        <v>120</v>
      </c>
      <c r="R9" s="75"/>
      <c r="S9" s="108" t="s">
        <v>121</v>
      </c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>
        <v>1</v>
      </c>
      <c r="AF9" s="75">
        <v>5</v>
      </c>
      <c r="AG9" s="102">
        <v>50</v>
      </c>
      <c r="AH9" s="102"/>
      <c r="AI9" s="102"/>
      <c r="AJ9" s="102"/>
      <c r="AK9" s="102"/>
      <c r="AL9" s="102"/>
      <c r="AM9" s="102"/>
      <c r="AN9" s="102"/>
      <c r="AO9" s="103"/>
      <c r="AP9" s="102"/>
      <c r="AQ9" s="102"/>
      <c r="AR9" s="102"/>
      <c r="AS9" s="102"/>
      <c r="AT9" s="103"/>
      <c r="AU9" s="103"/>
      <c r="AV9" s="103"/>
      <c r="AW9" s="103"/>
      <c r="AX9" s="103"/>
      <c r="AY9" s="103"/>
      <c r="AZ9" s="103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3"/>
      <c r="BM9" s="102"/>
      <c r="BN9" s="102"/>
      <c r="BO9" s="102"/>
      <c r="BP9" s="102"/>
      <c r="BQ9" s="102"/>
      <c r="BR9" s="102"/>
      <c r="BS9" s="102"/>
      <c r="BT9" s="103"/>
      <c r="BU9" s="103"/>
      <c r="BV9" s="102"/>
      <c r="BW9" s="102"/>
      <c r="BX9" s="102"/>
      <c r="BY9" s="104">
        <v>10</v>
      </c>
      <c r="BZ9" s="104">
        <v>20</v>
      </c>
      <c r="CA9" s="104"/>
      <c r="CB9" s="105"/>
      <c r="CC9" s="102">
        <v>5</v>
      </c>
      <c r="CD9" s="102">
        <v>5</v>
      </c>
      <c r="CE9" s="104"/>
      <c r="CF9" s="104"/>
      <c r="CG9" s="104"/>
      <c r="CH9" s="110">
        <f>AG9*_xlfn.SINGLE(IF(OR(AE9="",AE9=0),0,AE9))</f>
        <v>50</v>
      </c>
      <c r="CI9" s="110">
        <f t="shared" si="0"/>
        <v>250</v>
      </c>
      <c r="CJ9" s="110">
        <f>SUMPRODUCT(AE8:AF8,CH9:CI9)</f>
        <v>1050</v>
      </c>
      <c r="CK9" s="110">
        <f>BZ9*IF(OR(AE9="",AE9=0),0,AE9)</f>
        <v>20</v>
      </c>
      <c r="CL9" s="110">
        <f t="shared" si="1"/>
        <v>100</v>
      </c>
      <c r="CM9" s="110">
        <f>SUMPRODUCT(AE8:AF8,CK9:CL9)</f>
        <v>420</v>
      </c>
      <c r="CN9" s="110">
        <f>BY9*IF(OR(AE9="",AE9=0),0,AE9)</f>
        <v>10</v>
      </c>
      <c r="CO9" s="110">
        <f t="shared" si="2"/>
        <v>50</v>
      </c>
      <c r="CP9" s="110">
        <f>SUMPRODUCT(AE8:AF8,CN9:CO9)</f>
        <v>210</v>
      </c>
      <c r="CQ9" s="110">
        <f>CC9*IF(OR(AE9="",AE9=0),0,AE9)</f>
        <v>5</v>
      </c>
      <c r="CR9" s="110">
        <f t="shared" si="3"/>
        <v>25</v>
      </c>
      <c r="CS9" s="110">
        <f>SUMPRODUCT(AE8:AF8,CQ9:CR9)</f>
        <v>105</v>
      </c>
      <c r="CT9" s="110">
        <f>CD9*IF(OR(AE9="",AE9=0),0,AE9)</f>
        <v>5</v>
      </c>
      <c r="CU9" s="110">
        <f t="shared" si="4"/>
        <v>25</v>
      </c>
      <c r="CV9" s="110">
        <f>SUMPRODUCT(AH8:AI8,CT9:CU9)</f>
        <v>0</v>
      </c>
    </row>
    <row r="10" s="7" customFormat="1" ht="15" customHeight="1" spans="1:100">
      <c r="A10" s="71">
        <v>4</v>
      </c>
      <c r="B10" s="71"/>
      <c r="C10" s="71"/>
      <c r="D10" s="71"/>
      <c r="E10" s="71"/>
      <c r="F10" s="71"/>
      <c r="G10" s="71"/>
      <c r="H10" s="108" t="s">
        <v>126</v>
      </c>
      <c r="I10" s="109" t="s">
        <v>130</v>
      </c>
      <c r="J10" s="109" t="s">
        <v>131</v>
      </c>
      <c r="K10" s="111"/>
      <c r="L10" s="109" t="s">
        <v>119</v>
      </c>
      <c r="M10" s="71"/>
      <c r="N10" s="71"/>
      <c r="O10" s="99"/>
      <c r="P10" s="75"/>
      <c r="Q10" s="75" t="s">
        <v>120</v>
      </c>
      <c r="R10" s="75"/>
      <c r="S10" s="108" t="s">
        <v>121</v>
      </c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>
        <v>2</v>
      </c>
      <c r="AF10" s="75">
        <v>6</v>
      </c>
      <c r="AG10" s="102">
        <v>10</v>
      </c>
      <c r="AH10" s="102"/>
      <c r="AI10" s="102"/>
      <c r="AJ10" s="102"/>
      <c r="AK10" s="102"/>
      <c r="AL10" s="102"/>
      <c r="AM10" s="102"/>
      <c r="AN10" s="102"/>
      <c r="AO10" s="103"/>
      <c r="AP10" s="102"/>
      <c r="AQ10" s="102"/>
      <c r="AR10" s="102"/>
      <c r="AS10" s="102"/>
      <c r="AT10" s="103"/>
      <c r="AU10" s="103"/>
      <c r="AV10" s="103"/>
      <c r="AW10" s="103"/>
      <c r="AX10" s="103"/>
      <c r="AY10" s="103"/>
      <c r="AZ10" s="103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3"/>
      <c r="BM10" s="102"/>
      <c r="BN10" s="102"/>
      <c r="BO10" s="102"/>
      <c r="BP10" s="102"/>
      <c r="BQ10" s="102"/>
      <c r="BR10" s="102"/>
      <c r="BS10" s="102"/>
      <c r="BT10" s="103"/>
      <c r="BU10" s="103"/>
      <c r="BV10" s="102"/>
      <c r="BW10" s="102"/>
      <c r="BX10" s="102"/>
      <c r="BY10" s="104">
        <v>10</v>
      </c>
      <c r="BZ10" s="104">
        <v>20</v>
      </c>
      <c r="CA10" s="104"/>
      <c r="CB10" s="105"/>
      <c r="CC10" s="102">
        <v>5</v>
      </c>
      <c r="CD10" s="102">
        <v>5</v>
      </c>
      <c r="CE10" s="104"/>
      <c r="CF10" s="104"/>
      <c r="CG10" s="104"/>
      <c r="CH10" s="110">
        <f>AG10*_xlfn.SINGLE(IF(OR(AE10="",AE10=0),0,AE10))</f>
        <v>20</v>
      </c>
      <c r="CI10" s="110">
        <f t="shared" si="0"/>
        <v>60</v>
      </c>
      <c r="CJ10" s="110">
        <f>SUMPRODUCT(AE9:AF9,CH10:CI10)</f>
        <v>320</v>
      </c>
      <c r="CK10" s="110">
        <f>BZ10*IF(OR(AE10="",AE10=0),0,AE10)</f>
        <v>40</v>
      </c>
      <c r="CL10" s="110">
        <f t="shared" si="1"/>
        <v>120</v>
      </c>
      <c r="CM10" s="110">
        <f>SUMPRODUCT(AE9:AF9,CK10:CL10)</f>
        <v>640</v>
      </c>
      <c r="CN10" s="110">
        <f>BY10*IF(OR(AE10="",AE10=0),0,AE10)</f>
        <v>20</v>
      </c>
      <c r="CO10" s="110">
        <f t="shared" si="2"/>
        <v>60</v>
      </c>
      <c r="CP10" s="110">
        <f>SUMPRODUCT(AE9:AF9,CN10:CO10)</f>
        <v>320</v>
      </c>
      <c r="CQ10" s="110">
        <f>CC10*IF(OR(AE10="",AE10=0),0,AE10)</f>
        <v>10</v>
      </c>
      <c r="CR10" s="110">
        <f t="shared" si="3"/>
        <v>30</v>
      </c>
      <c r="CS10" s="110">
        <f>SUMPRODUCT(AE9:AF9,CQ10:CR10)</f>
        <v>160</v>
      </c>
      <c r="CT10" s="110">
        <f>CD10*IF(OR(AE10="",AE10=0),0,AE10)</f>
        <v>10</v>
      </c>
      <c r="CU10" s="110">
        <f t="shared" si="4"/>
        <v>30</v>
      </c>
      <c r="CV10" s="110">
        <f>SUMPRODUCT(AH9:AI9,CT10:CU10)</f>
        <v>0</v>
      </c>
    </row>
    <row r="11" s="7" customFormat="1" ht="15" customHeight="1" spans="1:100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5"/>
      <c r="AH11" s="115"/>
      <c r="AI11" s="115"/>
      <c r="AJ11" s="115"/>
      <c r="AK11" s="115"/>
      <c r="AL11" s="115"/>
      <c r="AM11" s="115"/>
      <c r="AN11" s="115"/>
      <c r="AO11" s="116"/>
      <c r="AP11" s="115"/>
      <c r="AQ11" s="115"/>
      <c r="AR11" s="115"/>
      <c r="AS11" s="115"/>
      <c r="AT11" s="116"/>
      <c r="AU11" s="116"/>
      <c r="AV11" s="116"/>
      <c r="AW11" s="116"/>
      <c r="AX11" s="116"/>
      <c r="AY11" s="116"/>
      <c r="AZ11" s="116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6"/>
      <c r="BM11" s="115"/>
      <c r="BN11" s="115"/>
      <c r="BO11" s="115"/>
      <c r="BP11" s="115"/>
      <c r="BQ11" s="115"/>
      <c r="BR11" s="115"/>
      <c r="BS11" s="115"/>
      <c r="BT11" s="116"/>
      <c r="BU11" s="116"/>
      <c r="BV11" s="115"/>
      <c r="BW11" s="115"/>
      <c r="BX11" s="115"/>
      <c r="BY11" s="117"/>
      <c r="BZ11" s="117"/>
      <c r="CA11" s="117"/>
      <c r="CB11" s="118"/>
      <c r="CC11" s="115"/>
      <c r="CD11" s="115"/>
      <c r="CE11" s="117"/>
      <c r="CF11" s="117"/>
      <c r="CG11" s="117"/>
      <c r="CH11" s="119"/>
      <c r="CI11" s="119"/>
      <c r="CJ11" s="119"/>
      <c r="CK11" s="119"/>
      <c r="CL11" s="119"/>
      <c r="CM11" s="119"/>
      <c r="CN11" s="119"/>
      <c r="CO11" s="119"/>
      <c r="CP11" s="119"/>
      <c r="CQ11" s="118"/>
      <c r="CR11" s="118"/>
      <c r="CS11" s="118"/>
      <c r="CT11" s="118"/>
      <c r="CU11" s="118"/>
      <c r="CV11" s="118"/>
    </row>
    <row r="12" s="7" customFormat="1" ht="15" customHeight="1" spans="1:100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3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5"/>
      <c r="AH12" s="115"/>
      <c r="AI12" s="115"/>
      <c r="AJ12" s="115"/>
      <c r="AK12" s="115"/>
      <c r="AL12" s="115"/>
      <c r="AM12" s="115"/>
      <c r="AN12" s="115"/>
      <c r="AO12" s="116"/>
      <c r="AP12" s="115"/>
      <c r="AQ12" s="115"/>
      <c r="AR12" s="115"/>
      <c r="AS12" s="115"/>
      <c r="AT12" s="116"/>
      <c r="AU12" s="116"/>
      <c r="AV12" s="116"/>
      <c r="AW12" s="116"/>
      <c r="AX12" s="116"/>
      <c r="AY12" s="116"/>
      <c r="AZ12" s="116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6"/>
      <c r="BM12" s="115"/>
      <c r="BN12" s="115"/>
      <c r="BO12" s="115"/>
      <c r="BP12" s="115"/>
      <c r="BQ12" s="115"/>
      <c r="BR12" s="115"/>
      <c r="BS12" s="115"/>
      <c r="BT12" s="116"/>
      <c r="BU12" s="116"/>
      <c r="BV12" s="115"/>
      <c r="BW12" s="115"/>
      <c r="BX12" s="115"/>
      <c r="BY12" s="117"/>
      <c r="BZ12" s="117"/>
      <c r="CA12" s="117"/>
      <c r="CB12" s="118"/>
      <c r="CC12" s="115"/>
      <c r="CD12" s="115"/>
      <c r="CE12" s="117"/>
      <c r="CF12" s="117"/>
      <c r="CG12" s="117"/>
      <c r="CH12" s="119"/>
      <c r="CI12" s="119"/>
      <c r="CJ12" s="119"/>
      <c r="CK12" s="119"/>
      <c r="CL12" s="119"/>
      <c r="CM12" s="119"/>
      <c r="CN12" s="119"/>
      <c r="CO12" s="119"/>
      <c r="CP12" s="119"/>
      <c r="CQ12" s="118"/>
      <c r="CR12" s="118"/>
      <c r="CS12" s="118"/>
      <c r="CT12" s="118"/>
      <c r="CU12" s="118"/>
      <c r="CV12" s="118"/>
    </row>
    <row r="13" s="7" customFormat="1" ht="15" customHeight="1" spans="1:100">
      <c r="A13" s="1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3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5"/>
      <c r="AH13" s="115"/>
      <c r="AI13" s="115"/>
      <c r="AJ13" s="115"/>
      <c r="AK13" s="115"/>
      <c r="AL13" s="115"/>
      <c r="AM13" s="115"/>
      <c r="AN13" s="115"/>
      <c r="AO13" s="116"/>
      <c r="AP13" s="115"/>
      <c r="AQ13" s="115"/>
      <c r="AR13" s="115"/>
      <c r="AS13" s="115"/>
      <c r="AT13" s="116"/>
      <c r="AU13" s="116"/>
      <c r="AV13" s="116"/>
      <c r="AW13" s="116"/>
      <c r="AX13" s="116"/>
      <c r="AY13" s="116"/>
      <c r="AZ13" s="116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6"/>
      <c r="BM13" s="115"/>
      <c r="BN13" s="115"/>
      <c r="BO13" s="115"/>
      <c r="BP13" s="115"/>
      <c r="BQ13" s="115"/>
      <c r="BR13" s="115"/>
      <c r="BS13" s="115"/>
      <c r="BT13" s="116"/>
      <c r="BU13" s="116"/>
      <c r="BV13" s="115"/>
      <c r="BW13" s="115"/>
      <c r="BX13" s="115"/>
      <c r="BY13" s="117"/>
      <c r="BZ13" s="117"/>
      <c r="CA13" s="117"/>
      <c r="CB13" s="118"/>
      <c r="CC13" s="115"/>
      <c r="CD13" s="115"/>
      <c r="CE13" s="117"/>
      <c r="CF13" s="117"/>
      <c r="CG13" s="117"/>
      <c r="CH13" s="119"/>
      <c r="CI13" s="119"/>
      <c r="CJ13" s="119"/>
      <c r="CK13" s="119"/>
      <c r="CL13" s="119"/>
      <c r="CM13" s="119"/>
      <c r="CN13" s="119"/>
      <c r="CO13" s="119"/>
      <c r="CP13" s="119"/>
      <c r="CQ13" s="118"/>
      <c r="CR13" s="118"/>
      <c r="CS13" s="118"/>
      <c r="CT13" s="118"/>
      <c r="CU13" s="118"/>
      <c r="CV13" s="118"/>
    </row>
    <row r="14" s="7" customFormat="1" ht="15" customHeight="1" spans="1:100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3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5"/>
      <c r="AH14" s="115"/>
      <c r="AI14" s="115"/>
      <c r="AJ14" s="115"/>
      <c r="AK14" s="115"/>
      <c r="AL14" s="115"/>
      <c r="AM14" s="115"/>
      <c r="AN14" s="115"/>
      <c r="AO14" s="116"/>
      <c r="AP14" s="115"/>
      <c r="AQ14" s="115"/>
      <c r="AR14" s="115"/>
      <c r="AS14" s="115"/>
      <c r="AT14" s="116"/>
      <c r="AU14" s="116"/>
      <c r="AV14" s="116"/>
      <c r="AW14" s="116"/>
      <c r="AX14" s="116"/>
      <c r="AY14" s="116"/>
      <c r="AZ14" s="116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6"/>
      <c r="BM14" s="115"/>
      <c r="BN14" s="115"/>
      <c r="BO14" s="115"/>
      <c r="BP14" s="115"/>
      <c r="BQ14" s="115"/>
      <c r="BR14" s="115"/>
      <c r="BS14" s="115"/>
      <c r="BT14" s="116"/>
      <c r="BU14" s="116"/>
      <c r="BV14" s="115"/>
      <c r="BW14" s="115"/>
      <c r="BX14" s="115"/>
      <c r="BY14" s="117"/>
      <c r="BZ14" s="117"/>
      <c r="CA14" s="117"/>
      <c r="CB14" s="118"/>
      <c r="CC14" s="115"/>
      <c r="CD14" s="115"/>
      <c r="CE14" s="117"/>
      <c r="CF14" s="117"/>
      <c r="CG14" s="117"/>
      <c r="CH14" s="119"/>
      <c r="CI14" s="119"/>
      <c r="CJ14" s="119"/>
      <c r="CK14" s="119"/>
      <c r="CL14" s="119"/>
      <c r="CM14" s="119"/>
      <c r="CN14" s="119"/>
      <c r="CO14" s="119"/>
      <c r="CP14" s="119"/>
      <c r="CQ14" s="118"/>
      <c r="CR14" s="118"/>
      <c r="CS14" s="118"/>
      <c r="CT14" s="118"/>
      <c r="CU14" s="118"/>
      <c r="CV14" s="118"/>
    </row>
    <row r="15" s="7" customFormat="1" ht="15" customHeight="1" spans="1:100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3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5"/>
      <c r="AH15" s="115"/>
      <c r="AI15" s="115"/>
      <c r="AJ15" s="115"/>
      <c r="AK15" s="115"/>
      <c r="AL15" s="115"/>
      <c r="AM15" s="115"/>
      <c r="AN15" s="115"/>
      <c r="AO15" s="116"/>
      <c r="AP15" s="115"/>
      <c r="AQ15" s="115"/>
      <c r="AR15" s="115"/>
      <c r="AS15" s="115"/>
      <c r="AT15" s="116"/>
      <c r="AU15" s="116"/>
      <c r="AV15" s="116"/>
      <c r="AW15" s="116"/>
      <c r="AX15" s="116"/>
      <c r="AY15" s="116"/>
      <c r="AZ15" s="116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16"/>
      <c r="BM15" s="115"/>
      <c r="BN15" s="115"/>
      <c r="BO15" s="115"/>
      <c r="BP15" s="115"/>
      <c r="BQ15" s="115"/>
      <c r="BR15" s="115"/>
      <c r="BS15" s="115"/>
      <c r="BT15" s="116"/>
      <c r="BU15" s="116"/>
      <c r="BV15" s="115"/>
      <c r="BW15" s="115"/>
      <c r="BX15" s="115"/>
      <c r="BY15" s="117"/>
      <c r="BZ15" s="117"/>
      <c r="CA15" s="117"/>
      <c r="CB15" s="118"/>
      <c r="CC15" s="115"/>
      <c r="CD15" s="115"/>
      <c r="CE15" s="117"/>
      <c r="CF15" s="117"/>
      <c r="CG15" s="117"/>
      <c r="CH15" s="119"/>
      <c r="CI15" s="119"/>
      <c r="CJ15" s="119"/>
      <c r="CK15" s="119"/>
      <c r="CL15" s="119"/>
      <c r="CM15" s="119"/>
      <c r="CN15" s="119"/>
      <c r="CO15" s="119"/>
      <c r="CP15" s="119"/>
      <c r="CQ15" s="118"/>
      <c r="CR15" s="118"/>
      <c r="CS15" s="118"/>
      <c r="CT15" s="118"/>
      <c r="CU15" s="118"/>
      <c r="CV15" s="118"/>
    </row>
    <row r="16" s="7" customFormat="1" ht="15" customHeight="1" spans="1:100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5"/>
      <c r="AH16" s="115"/>
      <c r="AI16" s="115"/>
      <c r="AJ16" s="115"/>
      <c r="AK16" s="115"/>
      <c r="AL16" s="115"/>
      <c r="AM16" s="115"/>
      <c r="AN16" s="115"/>
      <c r="AO16" s="116"/>
      <c r="AP16" s="115"/>
      <c r="AQ16" s="115"/>
      <c r="AR16" s="115"/>
      <c r="AS16" s="115"/>
      <c r="AT16" s="116"/>
      <c r="AU16" s="116"/>
      <c r="AV16" s="116"/>
      <c r="AW16" s="116"/>
      <c r="AX16" s="116"/>
      <c r="AY16" s="116"/>
      <c r="AZ16" s="116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6"/>
      <c r="BM16" s="115"/>
      <c r="BN16" s="115"/>
      <c r="BO16" s="115"/>
      <c r="BP16" s="115"/>
      <c r="BQ16" s="115"/>
      <c r="BR16" s="115"/>
      <c r="BS16" s="115"/>
      <c r="BT16" s="116"/>
      <c r="BU16" s="116"/>
      <c r="BV16" s="115"/>
      <c r="BW16" s="115"/>
      <c r="BX16" s="115"/>
      <c r="BY16" s="117"/>
      <c r="BZ16" s="117"/>
      <c r="CA16" s="117"/>
      <c r="CB16" s="118"/>
      <c r="CC16" s="115"/>
      <c r="CD16" s="115"/>
      <c r="CE16" s="117"/>
      <c r="CF16" s="117"/>
      <c r="CG16" s="117"/>
      <c r="CH16" s="119"/>
      <c r="CI16" s="119"/>
      <c r="CJ16" s="119"/>
      <c r="CK16" s="119"/>
      <c r="CL16" s="119"/>
      <c r="CM16" s="119"/>
      <c r="CN16" s="119"/>
      <c r="CO16" s="119"/>
      <c r="CP16" s="119"/>
      <c r="CQ16" s="118"/>
      <c r="CR16" s="118"/>
      <c r="CS16" s="118"/>
      <c r="CT16" s="118"/>
      <c r="CU16" s="118"/>
      <c r="CV16" s="118"/>
    </row>
    <row r="17" s="7" customFormat="1" ht="15" customHeight="1" spans="1:100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3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5"/>
      <c r="AH17" s="115"/>
      <c r="AI17" s="115"/>
      <c r="AJ17" s="115"/>
      <c r="AK17" s="115"/>
      <c r="AL17" s="115"/>
      <c r="AM17" s="115"/>
      <c r="AN17" s="115"/>
      <c r="AO17" s="116"/>
      <c r="AP17" s="115"/>
      <c r="AQ17" s="115"/>
      <c r="AR17" s="115"/>
      <c r="AS17" s="115"/>
      <c r="AT17" s="116"/>
      <c r="AU17" s="116"/>
      <c r="AV17" s="116"/>
      <c r="AW17" s="116"/>
      <c r="AX17" s="116"/>
      <c r="AY17" s="116"/>
      <c r="AZ17" s="116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6"/>
      <c r="BM17" s="115"/>
      <c r="BN17" s="115"/>
      <c r="BO17" s="115"/>
      <c r="BP17" s="115"/>
      <c r="BQ17" s="115"/>
      <c r="BR17" s="115"/>
      <c r="BS17" s="115"/>
      <c r="BT17" s="116"/>
      <c r="BU17" s="116"/>
      <c r="BV17" s="115"/>
      <c r="BW17" s="115"/>
      <c r="BX17" s="115"/>
      <c r="BY17" s="117"/>
      <c r="BZ17" s="117"/>
      <c r="CA17" s="117"/>
      <c r="CB17" s="118"/>
      <c r="CC17" s="115"/>
      <c r="CD17" s="115"/>
      <c r="CE17" s="117"/>
      <c r="CF17" s="117"/>
      <c r="CG17" s="117"/>
      <c r="CH17" s="119"/>
      <c r="CI17" s="119"/>
      <c r="CJ17" s="119"/>
      <c r="CK17" s="119"/>
      <c r="CL17" s="119"/>
      <c r="CM17" s="119"/>
      <c r="CN17" s="119"/>
      <c r="CO17" s="119"/>
      <c r="CP17" s="119"/>
      <c r="CQ17" s="118"/>
      <c r="CR17" s="118"/>
      <c r="CS17" s="118"/>
      <c r="CT17" s="118"/>
      <c r="CU17" s="118"/>
      <c r="CV17" s="118"/>
    </row>
    <row r="18" s="7" customFormat="1" ht="15" customHeight="1" spans="1:100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3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5"/>
      <c r="AH18" s="115"/>
      <c r="AI18" s="115"/>
      <c r="AJ18" s="115"/>
      <c r="AK18" s="115"/>
      <c r="AL18" s="115"/>
      <c r="AM18" s="115"/>
      <c r="AN18" s="115"/>
      <c r="AO18" s="116"/>
      <c r="AP18" s="115"/>
      <c r="AQ18" s="115"/>
      <c r="AR18" s="115"/>
      <c r="AS18" s="115"/>
      <c r="AT18" s="116"/>
      <c r="AU18" s="116"/>
      <c r="AV18" s="116"/>
      <c r="AW18" s="116"/>
      <c r="AX18" s="116"/>
      <c r="AY18" s="116"/>
      <c r="AZ18" s="116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6"/>
      <c r="BM18" s="115"/>
      <c r="BN18" s="115"/>
      <c r="BO18" s="115"/>
      <c r="BP18" s="115"/>
      <c r="BQ18" s="115"/>
      <c r="BR18" s="115"/>
      <c r="BS18" s="115"/>
      <c r="BT18" s="116"/>
      <c r="BU18" s="116"/>
      <c r="BV18" s="115"/>
      <c r="BW18" s="115"/>
      <c r="BX18" s="115"/>
      <c r="BY18" s="117"/>
      <c r="BZ18" s="117"/>
      <c r="CA18" s="117"/>
      <c r="CB18" s="118"/>
      <c r="CC18" s="115"/>
      <c r="CD18" s="115"/>
      <c r="CE18" s="117"/>
      <c r="CF18" s="117"/>
      <c r="CG18" s="117"/>
      <c r="CH18" s="119"/>
      <c r="CI18" s="119"/>
      <c r="CJ18" s="119"/>
      <c r="CK18" s="119"/>
      <c r="CL18" s="119"/>
      <c r="CM18" s="119"/>
      <c r="CN18" s="119"/>
      <c r="CO18" s="119"/>
      <c r="CP18" s="119"/>
      <c r="CQ18" s="118"/>
      <c r="CR18" s="118"/>
      <c r="CS18" s="118"/>
      <c r="CT18" s="118"/>
      <c r="CU18" s="118"/>
      <c r="CV18" s="118"/>
    </row>
    <row r="19" s="7" customFormat="1" ht="15" customHeight="1" spans="1:100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3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5"/>
      <c r="AH19" s="115"/>
      <c r="AI19" s="115"/>
      <c r="AJ19" s="115"/>
      <c r="AK19" s="115"/>
      <c r="AL19" s="115"/>
      <c r="AM19" s="115"/>
      <c r="AN19" s="115"/>
      <c r="AO19" s="116"/>
      <c r="AP19" s="115"/>
      <c r="AQ19" s="115"/>
      <c r="AR19" s="115"/>
      <c r="AS19" s="115"/>
      <c r="AT19" s="116"/>
      <c r="AU19" s="116"/>
      <c r="AV19" s="116"/>
      <c r="AW19" s="116"/>
      <c r="AX19" s="116"/>
      <c r="AY19" s="116"/>
      <c r="AZ19" s="116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6"/>
      <c r="BM19" s="115"/>
      <c r="BN19" s="115"/>
      <c r="BO19" s="115"/>
      <c r="BP19" s="115"/>
      <c r="BQ19" s="115"/>
      <c r="BR19" s="115"/>
      <c r="BS19" s="115"/>
      <c r="BT19" s="116"/>
      <c r="BU19" s="116"/>
      <c r="BV19" s="115"/>
      <c r="BW19" s="115"/>
      <c r="BX19" s="115"/>
      <c r="BY19" s="117"/>
      <c r="BZ19" s="117"/>
      <c r="CA19" s="117"/>
      <c r="CB19" s="118"/>
      <c r="CC19" s="115"/>
      <c r="CD19" s="115"/>
      <c r="CE19" s="117"/>
      <c r="CF19" s="117"/>
      <c r="CG19" s="117"/>
      <c r="CH19" s="119"/>
      <c r="CI19" s="119"/>
      <c r="CJ19" s="119"/>
      <c r="CK19" s="119"/>
      <c r="CL19" s="119"/>
      <c r="CM19" s="119"/>
      <c r="CN19" s="119"/>
      <c r="CO19" s="119"/>
      <c r="CP19" s="119"/>
      <c r="CQ19" s="118"/>
      <c r="CR19" s="118"/>
      <c r="CS19" s="118"/>
      <c r="CT19" s="118"/>
      <c r="CU19" s="118"/>
      <c r="CV19" s="118"/>
    </row>
    <row r="20" s="7" customFormat="1" ht="15" customHeight="1" spans="1:100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5"/>
      <c r="AH20" s="115"/>
      <c r="AI20" s="115"/>
      <c r="AJ20" s="115"/>
      <c r="AK20" s="115"/>
      <c r="AL20" s="115"/>
      <c r="AM20" s="115"/>
      <c r="AN20" s="115"/>
      <c r="AO20" s="116"/>
      <c r="AP20" s="115"/>
      <c r="AQ20" s="115"/>
      <c r="AR20" s="115"/>
      <c r="AS20" s="115"/>
      <c r="AT20" s="116"/>
      <c r="AU20" s="116"/>
      <c r="AV20" s="116"/>
      <c r="AW20" s="116"/>
      <c r="AX20" s="116"/>
      <c r="AY20" s="116"/>
      <c r="AZ20" s="116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6"/>
      <c r="BM20" s="115"/>
      <c r="BN20" s="115"/>
      <c r="BO20" s="115"/>
      <c r="BP20" s="115"/>
      <c r="BQ20" s="115"/>
      <c r="BR20" s="115"/>
      <c r="BS20" s="115"/>
      <c r="BT20" s="116"/>
      <c r="BU20" s="116"/>
      <c r="BV20" s="115"/>
      <c r="BW20" s="115"/>
      <c r="BX20" s="115"/>
      <c r="BY20" s="117"/>
      <c r="BZ20" s="117"/>
      <c r="CA20" s="117"/>
      <c r="CB20" s="118"/>
      <c r="CC20" s="115"/>
      <c r="CD20" s="115"/>
      <c r="CE20" s="117"/>
      <c r="CF20" s="117"/>
      <c r="CG20" s="117"/>
      <c r="CH20" s="119"/>
      <c r="CI20" s="119"/>
      <c r="CJ20" s="119"/>
      <c r="CK20" s="119"/>
      <c r="CL20" s="119"/>
      <c r="CM20" s="119"/>
      <c r="CN20" s="119"/>
      <c r="CO20" s="119"/>
      <c r="CP20" s="119"/>
      <c r="CQ20" s="118"/>
      <c r="CR20" s="118"/>
      <c r="CS20" s="118"/>
      <c r="CT20" s="118"/>
      <c r="CU20" s="118"/>
      <c r="CV20" s="118"/>
    </row>
    <row r="21" s="7" customFormat="1" ht="15" customHeight="1" spans="1:100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3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5"/>
      <c r="AH21" s="115"/>
      <c r="AI21" s="115"/>
      <c r="AJ21" s="115"/>
      <c r="AK21" s="115"/>
      <c r="AL21" s="115"/>
      <c r="AM21" s="115"/>
      <c r="AN21" s="115"/>
      <c r="AO21" s="116"/>
      <c r="AP21" s="115"/>
      <c r="AQ21" s="115"/>
      <c r="AR21" s="115"/>
      <c r="AS21" s="115"/>
      <c r="AT21" s="116"/>
      <c r="AU21" s="116"/>
      <c r="AV21" s="116"/>
      <c r="AW21" s="116"/>
      <c r="AX21" s="116"/>
      <c r="AY21" s="116"/>
      <c r="AZ21" s="116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6"/>
      <c r="BM21" s="115"/>
      <c r="BN21" s="115"/>
      <c r="BO21" s="115"/>
      <c r="BP21" s="115"/>
      <c r="BQ21" s="115"/>
      <c r="BR21" s="115"/>
      <c r="BS21" s="115"/>
      <c r="BT21" s="116"/>
      <c r="BU21" s="116"/>
      <c r="BV21" s="115"/>
      <c r="BW21" s="115"/>
      <c r="BX21" s="115"/>
      <c r="BY21" s="117"/>
      <c r="BZ21" s="117"/>
      <c r="CA21" s="117"/>
      <c r="CB21" s="118"/>
      <c r="CC21" s="115"/>
      <c r="CD21" s="115"/>
      <c r="CE21" s="117"/>
      <c r="CF21" s="117"/>
      <c r="CG21" s="117"/>
      <c r="CH21" s="119"/>
      <c r="CI21" s="119"/>
      <c r="CJ21" s="119"/>
      <c r="CK21" s="119"/>
      <c r="CL21" s="119"/>
      <c r="CM21" s="119"/>
      <c r="CN21" s="119"/>
      <c r="CO21" s="119"/>
      <c r="CP21" s="119"/>
      <c r="CQ21" s="118"/>
      <c r="CR21" s="118"/>
      <c r="CS21" s="118"/>
      <c r="CT21" s="118"/>
      <c r="CU21" s="118"/>
      <c r="CV21" s="118"/>
    </row>
    <row r="22" s="7" customFormat="1" ht="15" customHeight="1" spans="1:100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3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5"/>
      <c r="AH22" s="115"/>
      <c r="AI22" s="115"/>
      <c r="AJ22" s="115"/>
      <c r="AK22" s="115"/>
      <c r="AL22" s="115"/>
      <c r="AM22" s="115"/>
      <c r="AN22" s="115"/>
      <c r="AO22" s="116"/>
      <c r="AP22" s="115"/>
      <c r="AQ22" s="115"/>
      <c r="AR22" s="115"/>
      <c r="AS22" s="115"/>
      <c r="AT22" s="116"/>
      <c r="AU22" s="116"/>
      <c r="AV22" s="116"/>
      <c r="AW22" s="116"/>
      <c r="AX22" s="116"/>
      <c r="AY22" s="116"/>
      <c r="AZ22" s="116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6"/>
      <c r="BM22" s="115"/>
      <c r="BN22" s="115"/>
      <c r="BO22" s="115"/>
      <c r="BP22" s="115"/>
      <c r="BQ22" s="115"/>
      <c r="BR22" s="115"/>
      <c r="BS22" s="115"/>
      <c r="BT22" s="116"/>
      <c r="BU22" s="116"/>
      <c r="BV22" s="115"/>
      <c r="BW22" s="115"/>
      <c r="BX22" s="115"/>
      <c r="BY22" s="117"/>
      <c r="BZ22" s="117"/>
      <c r="CA22" s="117"/>
      <c r="CB22" s="118"/>
      <c r="CC22" s="115"/>
      <c r="CD22" s="115"/>
      <c r="CE22" s="117"/>
      <c r="CF22" s="117"/>
      <c r="CG22" s="117"/>
      <c r="CH22" s="119"/>
      <c r="CI22" s="119"/>
      <c r="CJ22" s="119"/>
      <c r="CK22" s="119"/>
      <c r="CL22" s="119"/>
      <c r="CM22" s="119"/>
      <c r="CN22" s="119"/>
      <c r="CO22" s="119"/>
      <c r="CP22" s="119"/>
      <c r="CQ22" s="118"/>
      <c r="CR22" s="118"/>
      <c r="CS22" s="118"/>
      <c r="CT22" s="118"/>
      <c r="CU22" s="118"/>
      <c r="CV22" s="118"/>
    </row>
    <row r="23" s="7" customFormat="1" ht="15" customHeight="1" spans="1:100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3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5"/>
      <c r="AH23" s="115"/>
      <c r="AI23" s="115"/>
      <c r="AJ23" s="115"/>
      <c r="AK23" s="115"/>
      <c r="AL23" s="115"/>
      <c r="AM23" s="115"/>
      <c r="AN23" s="115"/>
      <c r="AO23" s="116"/>
      <c r="AP23" s="115"/>
      <c r="AQ23" s="115"/>
      <c r="AR23" s="115"/>
      <c r="AS23" s="115"/>
      <c r="AT23" s="116"/>
      <c r="AU23" s="116"/>
      <c r="AV23" s="116"/>
      <c r="AW23" s="116"/>
      <c r="AX23" s="116"/>
      <c r="AY23" s="116"/>
      <c r="AZ23" s="116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6"/>
      <c r="BM23" s="115"/>
      <c r="BN23" s="115"/>
      <c r="BO23" s="115"/>
      <c r="BP23" s="115"/>
      <c r="BQ23" s="115"/>
      <c r="BR23" s="115"/>
      <c r="BS23" s="115"/>
      <c r="BT23" s="116"/>
      <c r="BU23" s="116"/>
      <c r="BV23" s="115"/>
      <c r="BW23" s="115"/>
      <c r="BX23" s="115"/>
      <c r="BY23" s="117"/>
      <c r="BZ23" s="117"/>
      <c r="CA23" s="117"/>
      <c r="CB23" s="118"/>
      <c r="CC23" s="115"/>
      <c r="CD23" s="115"/>
      <c r="CE23" s="117"/>
      <c r="CF23" s="117"/>
      <c r="CG23" s="117"/>
      <c r="CH23" s="119"/>
      <c r="CI23" s="119"/>
      <c r="CJ23" s="119"/>
      <c r="CK23" s="119"/>
      <c r="CL23" s="119"/>
      <c r="CM23" s="119"/>
      <c r="CN23" s="119"/>
      <c r="CO23" s="119"/>
      <c r="CP23" s="119"/>
      <c r="CQ23" s="118"/>
      <c r="CR23" s="118"/>
      <c r="CS23" s="118"/>
      <c r="CT23" s="118"/>
      <c r="CU23" s="118"/>
      <c r="CV23" s="118"/>
    </row>
    <row r="24" s="7" customFormat="1" ht="15" customHeight="1" spans="1:100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3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5"/>
      <c r="AH24" s="115"/>
      <c r="AI24" s="115"/>
      <c r="AJ24" s="115"/>
      <c r="AK24" s="115"/>
      <c r="AL24" s="115"/>
      <c r="AM24" s="115"/>
      <c r="AN24" s="115"/>
      <c r="AO24" s="116"/>
      <c r="AP24" s="115"/>
      <c r="AQ24" s="115"/>
      <c r="AR24" s="115"/>
      <c r="AS24" s="115"/>
      <c r="AT24" s="116"/>
      <c r="AU24" s="116"/>
      <c r="AV24" s="116"/>
      <c r="AW24" s="116"/>
      <c r="AX24" s="116"/>
      <c r="AY24" s="116"/>
      <c r="AZ24" s="116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6"/>
      <c r="BM24" s="115"/>
      <c r="BN24" s="115"/>
      <c r="BO24" s="115"/>
      <c r="BP24" s="115"/>
      <c r="BQ24" s="115"/>
      <c r="BR24" s="115"/>
      <c r="BS24" s="115"/>
      <c r="BT24" s="116"/>
      <c r="BU24" s="116"/>
      <c r="BV24" s="115"/>
      <c r="BW24" s="115"/>
      <c r="BX24" s="115"/>
      <c r="BY24" s="117"/>
      <c r="BZ24" s="117"/>
      <c r="CA24" s="117"/>
      <c r="CB24" s="118"/>
      <c r="CC24" s="115"/>
      <c r="CD24" s="115"/>
      <c r="CE24" s="117"/>
      <c r="CF24" s="117"/>
      <c r="CG24" s="117"/>
      <c r="CH24" s="119"/>
      <c r="CI24" s="119"/>
      <c r="CJ24" s="119"/>
      <c r="CK24" s="119"/>
      <c r="CL24" s="119"/>
      <c r="CM24" s="119"/>
      <c r="CN24" s="119"/>
      <c r="CO24" s="119"/>
      <c r="CP24" s="119"/>
      <c r="CQ24" s="118"/>
      <c r="CR24" s="118"/>
      <c r="CS24" s="118"/>
      <c r="CT24" s="118"/>
      <c r="CU24" s="118"/>
      <c r="CV24" s="118"/>
    </row>
    <row r="25" s="7" customFormat="1" ht="15" customHeight="1" spans="1:100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3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5"/>
      <c r="AH25" s="115"/>
      <c r="AI25" s="115"/>
      <c r="AJ25" s="115"/>
      <c r="AK25" s="115"/>
      <c r="AL25" s="115"/>
      <c r="AM25" s="115"/>
      <c r="AN25" s="115"/>
      <c r="AO25" s="120"/>
      <c r="AP25" s="120"/>
      <c r="AQ25" s="120"/>
      <c r="AR25" s="121"/>
      <c r="AS25" s="121"/>
      <c r="AT25" s="122"/>
      <c r="AU25" s="122"/>
      <c r="AV25" s="122"/>
      <c r="AW25" s="122"/>
      <c r="AX25" s="122"/>
      <c r="AY25" s="122"/>
      <c r="AZ25" s="122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2"/>
      <c r="BM25" s="121"/>
      <c r="BN25" s="121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7"/>
      <c r="BZ25" s="117"/>
      <c r="CA25" s="117"/>
      <c r="CB25" s="123"/>
      <c r="CC25" s="124"/>
      <c r="CD25" s="124"/>
      <c r="CE25" s="117"/>
      <c r="CF25" s="117"/>
      <c r="CG25" s="117"/>
      <c r="CH25" s="119"/>
      <c r="CI25" s="119"/>
      <c r="CJ25" s="119"/>
      <c r="CK25" s="119"/>
      <c r="CL25" s="119"/>
      <c r="CM25" s="119"/>
      <c r="CN25" s="119"/>
      <c r="CO25" s="119"/>
      <c r="CP25" s="119"/>
    </row>
  </sheetData>
  <mergeCells count="116">
    <mergeCell ref="F1:M1"/>
    <mergeCell ref="A2:AD2"/>
    <mergeCell ref="AE2:AF2"/>
    <mergeCell ref="AG2:AH2"/>
    <mergeCell ref="AJ2:AN2"/>
    <mergeCell ref="AO2:AS2"/>
    <mergeCell ref="AT2:BL2"/>
    <mergeCell ref="BM2:BN2"/>
    <mergeCell ref="BP2:BX2"/>
    <mergeCell ref="BY2:CG2"/>
    <mergeCell ref="CH2:CV2"/>
    <mergeCell ref="A3:P3"/>
    <mergeCell ref="Q3:R3"/>
    <mergeCell ref="S3:V3"/>
    <mergeCell ref="W3:AD3"/>
    <mergeCell ref="AE3:AF3"/>
    <mergeCell ref="AG3:AH3"/>
    <mergeCell ref="AJ3:AN3"/>
    <mergeCell ref="AO3:AS3"/>
    <mergeCell ref="AT3:BO3"/>
    <mergeCell ref="BP3:BX3"/>
    <mergeCell ref="BY3:CG3"/>
    <mergeCell ref="CH3:CJ3"/>
    <mergeCell ref="CK3:CM3"/>
    <mergeCell ref="CN3:CP3"/>
    <mergeCell ref="CQ3:CS3"/>
    <mergeCell ref="CT3:CV3"/>
    <mergeCell ref="BA4:BL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</mergeCells>
  <conditionalFormatting sqref="I7:I10">
    <cfRule type="duplicateValues" dxfId="0" priority="1"/>
  </conditionalFormatting>
  <pageMargins left="0.7" right="0.7" top="0.75" bottom="0.75" header="0.3" footer="0.3"/>
  <pageSetup paperSize="9" scale="1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A1" sqref="A1:I29"/>
    </sheetView>
  </sheetViews>
  <sheetFormatPr defaultColWidth="9.02654867256637" defaultRowHeight="13.5"/>
  <sheetData>
    <row r="1" spans="1:9">
      <c r="A1" s="1" t="s">
        <v>132</v>
      </c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</sheetData>
  <mergeCells count="1">
    <mergeCell ref="A1:I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成本履历导入模版-有配额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oki、doki</cp:lastModifiedBy>
  <dcterms:created xsi:type="dcterms:W3CDTF">2026-04-27T14:16:00Z</dcterms:created>
  <dcterms:modified xsi:type="dcterms:W3CDTF">2026-04-28T03:36:10Z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845DA84646D0448DB577F484A7CDA52E_12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